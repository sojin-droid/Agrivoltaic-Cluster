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7090" windowHeight="9150" tabRatio="963" firstSheet="0" activeTab="2" autoFilterDateGrouping="1"/>
  </bookViews>
  <sheets>
    <sheet name="1_분석개요" sheetId="1" state="visible" r:id="rId1"/>
    <sheet name="2_데이터출처" sheetId="2" state="visible" r:id="rId2"/>
    <sheet name="3_발전량 산출식 검증" sheetId="3" state="visible" r:id="rId3"/>
    <sheet name="3_발전식" sheetId="4" state="hidden" r:id="rId4"/>
    <sheet name="3_상수정의" sheetId="5" state="hidden" r:id="rId5"/>
    <sheet name="3_검증" sheetId="6" state="hidden" r:id="rId6"/>
    <sheet name="4_정책변수_법령근거" sheetId="7" state="visible" r:id="rId7"/>
    <sheet name="6_TOP10결과" sheetId="8" state="visible" r:id="rId8"/>
    <sheet name="6_부처별효과" sheetId="9" state="visible" r:id="rId9"/>
    <sheet name="7_한계" sheetId="10" state="visible" r:id="rId10"/>
    <sheet name="8_산단별_100%반경" sheetId="11" state="visible" r:id="rId11"/>
    <sheet name="9_외부검증결과" sheetId="12" state="visible" r:id="rId12"/>
    <sheet name="10_시군_광역잠재량" sheetId="13" state="visible" r:id="rId13"/>
    <sheet name="5_시나리오정의" sheetId="14" state="visible" r:id="rId14"/>
    <sheet name="11_시군_산단자급요건" sheetId="15" state="visible" r:id="rId15"/>
    <sheet name="12_시군_추진메시지" sheetId="16" state="visible" r:id="rId16"/>
    <sheet name="13_인접시군_정보" sheetId="17" state="visible" r:id="rId17"/>
    <sheet name="14_시군_소유주분포" sheetId="18" state="visible" r:id="rId18"/>
    <sheet name="15_대형소비처_방법론" sheetId="19" state="visible" r:id="rId19"/>
    <sheet name="16_국유지_법인지_클러스터" sheetId="20" state="visible" r:id="rId20"/>
    <sheet name="17_참고문헌_인덱스" sheetId="21" state="visible" r:id="rId21"/>
    <sheet name="18_정책분석_8단계_매핑" sheetId="22" state="visible" r:id="rId22"/>
    <sheet name="19_클러스터_순위_방법론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돋움"/>
      <color rgb="ff000000"/>
      <sz val="11"/>
    </font>
    <font>
      <name val="unnamed"/>
      <color rgb="ff000000"/>
      <sz val="11"/>
    </font>
    <font>
      <name val="맑은 고딕"/>
      <sz val="11"/>
    </font>
    <font>
      <name val="맑은 고딕"/>
      <b val="1"/>
      <color rgb="00FFFFFF"/>
      <sz val="11"/>
    </font>
    <font>
      <name val="맑은 고딕"/>
      <color rgb="000563C1"/>
      <sz val="11"/>
      <u val="single"/>
    </font>
    <font>
      <name val="맑은 고딕"/>
      <b val="1"/>
      <color rgb="002E7D32"/>
      <sz val="11"/>
    </font>
    <font>
      <name val="맑은 고딕"/>
      <b val="1"/>
      <color rgb="00C55A11"/>
      <sz val="11"/>
    </font>
    <font>
      <name val="맑은 고딕"/>
      <b val="1"/>
      <color rgb="00C00000"/>
      <sz val="11"/>
    </font>
    <font>
      <b val="1"/>
      <color rgb="005B21B6"/>
      <sz val="13"/>
    </font>
    <font>
      <i val="1"/>
      <color rgb="006B7280"/>
      <sz val="9"/>
    </font>
    <font>
      <b val="1"/>
      <color rgb="005B21B6"/>
      <sz val="11"/>
    </font>
    <font>
      <b val="1"/>
      <color rgb="00FFFFFF"/>
      <sz val="11"/>
    </font>
    <font>
      <i val="1"/>
      <color rgb="00B91C1C"/>
      <sz val="9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BE5E1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7C3AED"/>
      </patternFill>
    </fill>
    <fill>
      <patternFill patternType="solid">
        <fgColor rgb="00FEF3C7"/>
      </patternFill>
    </fill>
  </fills>
  <borders count="3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5" fillId="0" borderId="0" applyAlignment="1">
      <alignment horizontal="general" vertical="bottom"/>
    </xf>
  </cellStyleXfs>
  <cellXfs count="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3" fontId="8" fillId="0" borderId="0" pivotButton="0" quotePrefix="0" xfId="0"/>
    <xf numFmtId="0" fontId="9" fillId="2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9" borderId="0" pivotButton="0" quotePrefix="0" xfId="0"/>
    <xf numFmtId="0" fontId="17" fillId="1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</cellXfs>
  <cellStyles count="1">
    <cellStyle name="Normal" xfId="0" builtinId="0"/>
  </cellStyles>
  <dxfs count="18">
    <dxf/>
    <dxf/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/>
    <dxf/>
    <dxf/>
    <dxf/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/>
    <dxf/>
    <dxf/>
    <dxf/>
    <dxf/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1.xml.rels><Relationships xmlns="http://schemas.openxmlformats.org/package/2006/relationships"><Relationship Type="http://schemas.openxmlformats.org/officeDocument/2006/relationships/hyperlink" Target="https://www.nars.go.kr/report/view.do?cmsCode=CM0165&amp;brdSeq=45757" TargetMode="External" Id="rId1" /><Relationship Type="http://schemas.openxmlformats.org/officeDocument/2006/relationships/hyperlink" Target="https://www.nars.go.kr/report/view.do?cmsCode=CM0043&amp;brdSeq=44065" TargetMode="External" Id="rId2" /><Relationship Type="http://schemas.openxmlformats.org/officeDocument/2006/relationships/hyperlink" Target="https://www.nabo.go.kr/system/common/JSPservlet/download.jsp?fCode=33318350" TargetMode="External" Id="rId3" /><Relationship Type="http://schemas.openxmlformats.org/officeDocument/2006/relationships/hyperlink" Target="https://eiec.kdi.re.kr/policy/domesticView.do?ac=0000205643" TargetMode="External" Id="rId4" /><Relationship Type="http://schemas.openxmlformats.org/officeDocument/2006/relationships/hyperlink" Target="https://www.keei.re.kr/board.es?mid=a10103020000&amp;bid=0014&amp;act=view&amp;list_no=123184" TargetMode="External" Id="rId5" /><Relationship Type="http://schemas.openxmlformats.org/officeDocument/2006/relationships/hyperlink" Target="https://repository.krei.re.kr/bitstream/2018.oak/30971/1/P293.pdf" TargetMode="External" Id="rId6" /><Relationship Type="http://schemas.openxmlformats.org/officeDocument/2006/relationships/hyperlink" Target="https://repository.krei.re.kr/bitstream/2018.oak/21438/1/R747.pdf" TargetMode="External" Id="rId7" /><Relationship Type="http://schemas.openxmlformats.org/officeDocument/2006/relationships/hyperlink" Target="https://scienceon.kisti.re.kr/srch/selectPORSrchReport.do?cn=TRKO202200017649" TargetMode="External" Id="rId8" /><Relationship Type="http://schemas.openxmlformats.org/officeDocument/2006/relationships/hyperlink" Target="https://www.krihs.re.kr/publica/searchList.do" TargetMode="External" Id="rId9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13"/>
  <sheetViews>
    <sheetView topLeftCell="A1" zoomScaleNormal="100" zoomScaleSheetLayoutView="75" workbookViewId="0">
      <selection activeCell="B3" activeCellId="0" sqref="B3:B3"/>
    </sheetView>
  </sheetViews>
  <sheetFormatPr baseColWidth="8" defaultColWidth="9.00390625" defaultRowHeight="16.4"/>
  <cols>
    <col width="29.7421875" bestFit="1" customWidth="1" style="4" min="1" max="1"/>
  </cols>
  <sheetData>
    <row r="1">
      <c r="A1" s="4" t="inlineStr">
        <is>
          <t>항목</t>
        </is>
      </c>
      <c r="B1" s="4" t="inlineStr">
        <is>
          <t>내용</t>
        </is>
      </c>
    </row>
    <row r="2">
      <c r="A2" s="4" t="inlineStr">
        <is>
          <t>프로젝트명</t>
        </is>
      </c>
      <c r="B2" s="4" t="inlineStr">
        <is>
          <t>산업단지 주변 영농형 태양광 RE100 특구 후보 분석</t>
        </is>
      </c>
    </row>
    <row r="3">
      <c r="A3" s="4" t="inlineStr">
        <is>
          <t>분석 대상 시군</t>
        </is>
      </c>
      <c r="B3" s="4" t="inlineStr">
        <is>
          <t>경기도 8개(화성·평택·용인·안산·시흥·이천·파주·김포) + 충청남도 6개(당진·서산·아산·천안·예산·홍성)</t>
        </is>
      </c>
    </row>
    <row r="4">
      <c r="A4" s="4" t="inlineStr">
        <is>
          <t>산업단지 수 (분석 시군 한정)</t>
        </is>
      </c>
      <c r="B4" s="4" t="inlineStr">
        <is>
          <t>40개</t>
        </is>
      </c>
    </row>
    <row r="5">
      <c r="A5" s="4" t="inlineStr">
        <is>
          <t>산업단지 수 (S_MAX 50MW 이상)</t>
        </is>
      </c>
      <c r="B5" s="4" t="inlineStr">
        <is>
          <t>39개</t>
        </is>
      </c>
    </row>
    <row r="6">
      <c r="A6" s="4" t="inlineStr">
        <is>
          <t>분석 단위</t>
        </is>
      </c>
      <c r="B6" s="4" t="inlineStr">
        <is>
          <t>산단별 반경 5/10km 버퍼 + 동적 슬라이더</t>
        </is>
      </c>
    </row>
    <row r="7">
      <c r="A7" s="4" t="inlineStr">
        <is>
          <t>분석 시나리오</t>
        </is>
      </c>
      <c r="B7" s="4" t="inlineStr">
        <is>
          <t>11단계 누적 (S0~S_MAX)</t>
        </is>
      </c>
    </row>
    <row r="8">
      <c r="A8" s="4" t="inlineStr">
        <is>
          <t>발전공식</t>
        </is>
      </c>
      <c r="B8" s="1" t="inlineStr">
        <is>
          <t>면적 × 0.225 × 0.20 / 1,000 = MW → MW × 8,760 × 0.15 = MWh</t>
        </is>
      </c>
    </row>
    <row r="9">
      <c r="A9" s="4" t="inlineStr">
        <is>
          <t>전력소비 산정</t>
        </is>
      </c>
      <c r="B9" s="1" t="inlineStr">
        <is>
          <t>Peak_Demand_MW × 8,760 × 0.6 (부하율 60% 가정)</t>
        </is>
      </c>
    </row>
    <row r="10">
      <c r="A10" s="4" t="inlineStr">
        <is>
          <t>사용 도구</t>
        </is>
      </c>
      <c r="B10" s="4" t="inlineStr">
        <is>
          <t>Python (GeoPandas, Shapely, Pandas, rasterstats, openpyxl, scipy), QGIS, DuckDB, SQLite, Leaflet</t>
        </is>
      </c>
    </row>
    <row r="11">
      <c r="A11" s="4" t="inlineStr">
        <is>
          <t>분석 기간</t>
        </is>
      </c>
      <c r="B11" s="4" t="inlineStr">
        <is>
          <t>2026.04 ~ 2026.05</t>
        </is>
      </c>
    </row>
    <row r="12">
      <c r="A12" s="4" t="inlineStr">
        <is>
          <t>주요 정책 환경</t>
        </is>
      </c>
      <c r="B12" s="4" t="inlineStr">
        <is>
          <t>영농형 태양광 발전사업 활성화 및 지원에 관한 법률 2026.5.7 국회 통과 (시행령 정비 중). 농업진흥구역 내 재생에너지지구 지정 가능, 농지 사용 기간 8년-&gt;23년</t>
        </is>
      </c>
    </row>
    <row r="13">
      <c r="A13" s="4" t="inlineStr">
        <is>
          <t>외부 검증</t>
        </is>
      </c>
      <c r="B13" s="1" t="inlineStr">
        <is>
          <t>PANEL_DENSITY = 0.225 × 0.20 = 0.045 kW/m²출처: 패널효율(한화큐셀 Q.TRON G2) · 설비이용률(한국전력거래소 EPSIS) · 실증(전남 영암군 2024, 1,000m²→45kW)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8"/>
  <sheetViews>
    <sheetView topLeftCell="A1" zoomScaleNormal="100" zoomScaleSheetLayoutView="75" workbookViewId="0">
      <selection activeCell="B24" activeCellId="0" sqref="B24:B24"/>
    </sheetView>
  </sheetViews>
  <sheetFormatPr baseColWidth="8" defaultColWidth="9.00390625" defaultRowHeight="16.4"/>
  <cols>
    <col width="20.8828125" bestFit="1" customWidth="1" style="4" min="1" max="1"/>
    <col width="42" customWidth="1" style="4" min="2" max="2"/>
    <col width="24.55078125" bestFit="1" customWidth="1" style="4" min="3" max="3"/>
    <col width="28.59765625" bestFit="1" customWidth="1" style="4" min="4" max="4"/>
    <col width="44.80078125" bestFit="1" customWidth="1" style="4" min="5" max="5"/>
  </cols>
  <sheetData>
    <row r="1">
      <c r="A1" s="4" t="inlineStr">
        <is>
          <t>데이터명</t>
        </is>
      </c>
      <c r="B1" s="4" t="inlineStr">
        <is>
          <t>내용</t>
        </is>
      </c>
      <c r="C1" s="4" t="inlineStr">
        <is>
          <t>발급처</t>
        </is>
      </c>
      <c r="D1" s="4" t="inlineStr">
        <is>
          <t>포맷</t>
        </is>
      </c>
      <c r="E1" s="4" t="inlineStr">
        <is>
          <t>원본_출처</t>
        </is>
      </c>
      <c r="F1" s="4" t="inlineStr">
        <is>
          <t>갱신</t>
        </is>
      </c>
      <c r="G1" s="4" t="inlineStr">
        <is>
          <t>분석_활용</t>
        </is>
      </c>
    </row>
    <row r="2">
      <c r="A2" s="4" t="inlineStr">
        <is>
          <t>팜맵</t>
        </is>
      </c>
      <c r="B2" s="4" t="inlineStr">
        <is>
          <t>전국 농경지 폴리곤 + 지목(INTPR_CD)</t>
        </is>
      </c>
      <c r="C2" s="1" t="inlineStr">
        <is>
          <t>농림축산식품부 / 농림수산식품교육문화정보원</t>
        </is>
      </c>
      <c r="D2" s="4" t="inlineStr">
        <is>
          <t>SHP-&gt;GPKG</t>
        </is>
      </c>
      <c r="E2" s="4" t="inlineStr">
        <is>
          <t>농촌진흥청 농경지전자지도</t>
        </is>
      </c>
      <c r="F2" s="4" t="inlineStr">
        <is>
          <t>연 1회</t>
        </is>
      </c>
      <c r="G2" s="4" t="inlineStr">
        <is>
          <t>is_facility (시설재배지 INTPR_CD=04)</t>
        </is>
      </c>
      <c r="H2" s="1" t="inlineStr">
        <is>
          <t>https://www.data.go.kr/data/15104489/fileData.do</t>
        </is>
      </c>
    </row>
    <row r="3">
      <c r="A3" s="4" t="inlineStr">
        <is>
          <t>slope_90m.tif</t>
        </is>
      </c>
      <c r="B3" s="4" t="inlineStr">
        <is>
          <t>전국 90m 경사도 raster</t>
        </is>
      </c>
      <c r="C3" s="1" t="inlineStr">
        <is>
          <t>자체 보유</t>
        </is>
      </c>
      <c r="D3" s="4" t="inlineStr">
        <is>
          <t>GeoTIFF</t>
        </is>
      </c>
      <c r="E3" s="4" t="inlineStr">
        <is>
          <t>SRTM/ALOS 90m DEM 경사도 산출</t>
        </is>
      </c>
      <c r="F3" s="4" t="inlineStr">
        <is>
          <t>고정</t>
        </is>
      </c>
      <c r="G3" s="4" t="inlineStr">
        <is>
          <t>PNU별 zonal_stats. 매칭율 농촌 95-98%, 도시 89-90%</t>
        </is>
      </c>
      <c r="H3" s="1" t="inlineStr">
        <is>
          <t>portal.opentopography.org</t>
        </is>
      </c>
    </row>
    <row r="4">
      <c r="A4" s="4" t="inlineStr">
        <is>
          <t>complex_integrated.csv</t>
        </is>
      </c>
      <c r="B4" s="4" t="inlineStr">
        <is>
          <t>산업단지 52개 정보 (전국, 14개 시군 한정 40개). Peak_Demand_MW만 보유, 전력소비_GWh는 없음</t>
        </is>
      </c>
      <c r="C4" s="4" t="inlineStr">
        <is>
          <t>통합 정리</t>
        </is>
      </c>
      <c r="D4" s="4" t="inlineStr">
        <is>
          <t>CSV</t>
        </is>
      </c>
      <c r="E4" s="4" t="inlineStr">
        <is>
          <t>한국산업단지공단 + 한국전력공사</t>
        </is>
      </c>
      <c r="F4" s="4" t="inlineStr">
        <is>
          <t>분기/연</t>
        </is>
      </c>
      <c r="G4" s="4" t="inlineStr">
        <is>
          <t>산단 위치(Center_X/Y), 면적(Area_ha), 최대 전력수요(Peak_Demand_MW). 연간 전력소비량은 Peak x 8,760 x 0.6 (부하율 60%)으로 v6.2에서 자체 산출</t>
        </is>
      </c>
      <c r="H4" s="1" t="inlineStr">
        <is>
          <t>https://www.data.go.kr/data/3041272/fileData.do</t>
        </is>
      </c>
    </row>
    <row r="5">
      <c r="A5" s="4" t="inlineStr">
        <is>
          <t>위성영상</t>
        </is>
      </c>
      <c r="B5" s="4" t="inlineStr">
        <is>
          <t>ESRI World Imagery 타일</t>
        </is>
      </c>
      <c r="C5" s="4" t="inlineStr">
        <is>
          <t>Esri</t>
        </is>
      </c>
      <c r="D5" s="4" t="inlineStr">
        <is>
          <t>XYZ 타일</t>
        </is>
      </c>
      <c r="E5" s="4" t="inlineStr">
        <is>
          <t>Maxar / Vivid / Sentinel</t>
        </is>
      </c>
      <c r="F5" s="4" t="inlineStr">
        <is>
          <t>지역별 1-5년</t>
        </is>
      </c>
      <c r="G5" s="4" t="inlineStr">
        <is>
          <t>Leaflet 시각화 배경</t>
        </is>
      </c>
      <c r="H5" s="1" t="inlineStr">
        <is>
          <t>https://server.arcgisonline.com/ArcGIS/rest/services/World_Imagery/MapServer/tile/{z}/{y}/{x}</t>
        </is>
      </c>
    </row>
    <row r="7">
      <c r="A7" s="4" t="inlineStr">
        <is>
          <t>Land_Processed</t>
        </is>
      </c>
      <c r="B7" s="4" t="inlineStr">
        <is>
          <t>전국 252개 시군 토지마스터 (PNU별 31개 속성)</t>
        </is>
      </c>
      <c r="C7" s="4" t="inlineStr">
        <is>
          <t>Planit Institute</t>
        </is>
      </c>
      <c r="D7" s="4" t="inlineStr">
        <is>
          <t>SQLite x252</t>
        </is>
      </c>
      <c r="E7" s="4" t="inlineStr">
        <is>
          <t>한국국토정보공사(LX)</t>
        </is>
      </c>
      <c r="F7" s="4" t="inlineStr">
        <is>
          <t>2026년 초</t>
        </is>
      </c>
      <c r="G7" s="4" t="inlineStr">
        <is>
          <t>ownership, agpromo, subagpromo, exclusion, buildings, waterbody, industrialpark</t>
        </is>
      </c>
    </row>
    <row r="8" customFormat="1" s="1">
      <c r="A8" s="1" t="inlineStr">
        <is>
          <t>데이터명칭</t>
        </is>
      </c>
      <c r="B8" s="1" t="inlineStr">
        <is>
          <t>명칭</t>
        </is>
      </c>
      <c r="C8" s="1" t="inlineStr">
        <is>
          <t>배포처</t>
        </is>
      </c>
      <c r="D8" s="1" t="inlineStr">
        <is>
          <t>코드</t>
        </is>
      </c>
      <c r="E8" s="1" t="inlineStr">
        <is>
          <t>원천기관</t>
        </is>
      </c>
      <c r="F8" s="1" t="inlineStr">
        <is>
          <t>노트</t>
        </is>
      </c>
      <c r="G8" s="1" t="inlineStr">
        <is>
          <t>코드설명</t>
        </is>
      </c>
      <c r="H8" s="1" t="inlineStr">
        <is>
          <t>링크</t>
        </is>
      </c>
    </row>
    <row r="9" customFormat="1" s="1">
      <c r="A9" s="1" t="inlineStr">
        <is>
          <t>교통시설</t>
        </is>
      </c>
      <c r="B9" s="1" t="inlineStr">
        <is>
          <t>공항</t>
        </is>
      </c>
      <c r="C9" s="1" t="inlineStr">
        <is>
          <t>브이월드(V-World)</t>
        </is>
      </c>
      <c r="D9" s="1" t="inlineStr">
        <is>
          <t>airports</t>
        </is>
      </c>
      <c r="E9" s="1" t="inlineStr">
        <is>
          <t>국토교통부</t>
        </is>
      </c>
      <c r="H9" s="1" t="inlineStr">
        <is>
          <t>https://www.vworld.kr/dtmk/dtmk_ntads_s002.do?svcCde=DT&amp;dsId=DAT_0000000000000116</t>
        </is>
      </c>
    </row>
    <row r="10" ht="32.75" customFormat="1" customHeight="1" s="1">
      <c r="A10" s="2" t="inlineStr">
        <is>
          <t>수치표고모델(DEM)_90M</t>
        </is>
      </c>
      <c r="B10" s="1" t="inlineStr">
        <is>
          <t>표고</t>
        </is>
      </c>
      <c r="C10" s="1" t="inlineStr">
        <is>
          <t>브이월드(V-World)</t>
        </is>
      </c>
      <c r="D10" s="1" t="inlineStr">
        <is>
          <t>altitude_over_1000</t>
        </is>
      </c>
      <c r="E10" s="1" t="inlineStr">
        <is>
          <t>국토교통부</t>
        </is>
      </c>
      <c r="H10" s="1" t="inlineStr">
        <is>
          <t>https://www.vworld.kr/dtmk/dtmk_ntads_s002.do?searchKeyword=%EC%88%98%EC%B9%98%ED%91%9C%EA%B3%A0&amp;searchOrganization=&amp;searchBrmCode=&amp;searchTagList=&amp;searchFrm=&amp;pageIndex=1&amp;gidmCd=&amp;gidsCd=&amp;sortType=00&amp;svcCde=MK&amp;dsId=30206&amp;listPageIndex=1</t>
        </is>
      </c>
    </row>
    <row r="11" customFormat="1" s="1">
      <c r="A11" s="1" t="inlineStr">
        <is>
          <t>연안주제도 갯벌</t>
        </is>
      </c>
      <c r="B11" s="1" t="inlineStr">
        <is>
          <t>갯벌</t>
        </is>
      </c>
      <c r="C11" s="1" t="inlineStr">
        <is>
          <t>해양환경정보포털(MEIS)</t>
        </is>
      </c>
      <c r="D11" s="1" t="inlineStr">
        <is>
          <t>BASE_TID_2023_LB</t>
        </is>
      </c>
      <c r="E11" s="1" t="inlineStr">
        <is>
          <t>해양수산부</t>
        </is>
      </c>
      <c r="H11" s="1" t="inlineStr">
        <is>
          <t>https://www.meis.go.kr/map/oemsBaseMap.do</t>
        </is>
      </c>
    </row>
    <row r="12" customFormat="1" s="1">
      <c r="B12" s="1" t="inlineStr">
        <is>
          <t>천연기념물서식지</t>
        </is>
      </c>
      <c r="D12" s="1" t="inlineStr">
        <is>
          <t>CHEON</t>
        </is>
      </c>
      <c r="E12" s="1" t="inlineStr">
        <is>
          <t>출처 미상 — 링크 없음, 확인 필요</t>
        </is>
      </c>
    </row>
    <row r="13" customFormat="1" s="1">
      <c r="B13" s="1" t="inlineStr">
        <is>
          <t>휴전선및민간인통제선</t>
        </is>
      </c>
      <c r="D13" s="1" t="inlineStr">
        <is>
          <t>dmz_10km</t>
        </is>
      </c>
      <c r="E13" s="1" t="inlineStr">
        <is>
          <t>직접 작성 (플랜잇 — 시도경계 데이터로 직접 작성)</t>
        </is>
      </c>
      <c r="F13" s="1" t="inlineStr">
        <is>
          <t>시도경계 데이터 이용해서 직접 작성</t>
        </is>
      </c>
      <c r="G13" s="1" t="inlineStr">
        <is>
          <t>시도경계 데이터 이용해서 직접 작성</t>
        </is>
      </c>
    </row>
    <row r="14" customFormat="1" s="1">
      <c r="A14" s="1" t="inlineStr">
        <is>
          <t>생태자연도</t>
        </is>
      </c>
      <c r="B14" s="1" t="inlineStr">
        <is>
          <t>생태자연도 1등급</t>
        </is>
      </c>
      <c r="C14" s="1" t="inlineStr">
        <is>
          <t>에코뱅크(국립생태원)</t>
        </is>
      </c>
      <c r="D14" s="1" t="inlineStr">
        <is>
          <t>ezcmgr_l1</t>
        </is>
      </c>
      <c r="E14" s="1" t="inlineStr">
        <is>
          <t>환경부 국립생태원</t>
        </is>
      </c>
      <c r="H14" s="1" t="inlineStr">
        <is>
          <t>https://www.nie-ecobank.kr/opn/file/list.do</t>
        </is>
      </c>
    </row>
    <row r="15" customFormat="1" s="1">
      <c r="A15" s="1" t="inlineStr">
        <is>
          <t>생태자연도</t>
        </is>
      </c>
      <c r="B15" s="1" t="inlineStr">
        <is>
          <t>생태자연도 별도관리구역</t>
        </is>
      </c>
      <c r="C15" s="1" t="inlineStr">
        <is>
          <t>에코뱅크(국립생태원)</t>
        </is>
      </c>
      <c r="D15" s="1" t="inlineStr">
        <is>
          <t>ezcmgr_l9</t>
        </is>
      </c>
      <c r="E15" s="1" t="inlineStr">
        <is>
          <t>환경부 국립생태원</t>
        </is>
      </c>
      <c r="H15" s="1" t="inlineStr">
        <is>
          <t>https://www.nie-ecobank.kr/opn/file/list.do</t>
        </is>
      </c>
    </row>
    <row r="16" customFormat="1" s="1">
      <c r="A16" s="1" t="inlineStr">
        <is>
          <t>산사태위험지도</t>
        </is>
      </c>
      <c r="B16" s="1" t="inlineStr">
        <is>
          <t>산사태위험1등급</t>
        </is>
      </c>
      <c r="C16" s="1" t="inlineStr">
        <is>
          <t>산림청</t>
        </is>
      </c>
      <c r="D16" s="1" t="inlineStr">
        <is>
          <t>landslide_lv1</t>
        </is>
      </c>
      <c r="E16" s="1" t="inlineStr">
        <is>
          <t>산림청</t>
        </is>
      </c>
      <c r="H16" s="1" t="inlineStr">
        <is>
          <t>https://www.forest.go.kr/kfsweb/kfi/kfs/trail/sanSaTae.do?pblicDataId=PBD0000210&amp;tabs=4&amp;mn=NKFS_06_08_02&amp;subTitle=%ec%82%b0%ec%82%ac%ed%83%9c%ec%9c%84%ed%97%98%ec%a7%80%eb%8f%84</t>
        </is>
      </c>
    </row>
    <row r="17" ht="32.75" customFormat="1" customHeight="1" s="1">
      <c r="A17" s="2" t="inlineStr">
        <is>
          <t>(연속주제)_제주도개발/용도지역</t>
        </is>
      </c>
      <c r="B17" s="1" t="inlineStr">
        <is>
          <t>지역계획 절대보전</t>
        </is>
      </c>
      <c r="C17" s="1" t="inlineStr">
        <is>
          <t>브이월드(V-World)</t>
        </is>
      </c>
      <c r="D17" s="1" t="inlineStr">
        <is>
          <t>LSMD_CONT_UB301</t>
        </is>
      </c>
      <c r="E17" s="1" t="inlineStr">
        <is>
          <t>제주특별자치도</t>
        </is>
      </c>
      <c r="H17" s="1" t="inlineStr">
        <is>
          <t>https://www.vworld.kr/dtmk/dtmk_ntads_s002.do?svcCde=MK&amp;dsId=30415</t>
        </is>
      </c>
    </row>
    <row r="18" customFormat="1" s="1">
      <c r="A18" s="1" t="inlineStr">
        <is>
          <t>농업진흥지역도</t>
        </is>
      </c>
      <c r="B18" s="1" t="inlineStr">
        <is>
          <t>농업진흥지역</t>
        </is>
      </c>
      <c r="C18" s="1" t="inlineStr">
        <is>
          <t>브이월드(V-World)</t>
        </is>
      </c>
      <c r="D18" s="1" t="inlineStr">
        <is>
          <t>LT_C_UE101</t>
        </is>
      </c>
      <c r="E18" s="1" t="inlineStr">
        <is>
          <t>농림축산식품부</t>
        </is>
      </c>
      <c r="H18" s="1" t="inlineStr">
        <is>
          <t>https://www.vworld.kr/dev/v4dv_2ddataguide2_s002.do?svcIde=agrixue101</t>
        </is>
      </c>
    </row>
    <row r="19" customFormat="1" s="1">
      <c r="A19" s="1" t="inlineStr">
        <is>
          <t>백두대간보호구역</t>
        </is>
      </c>
      <c r="B19" s="1" t="inlineStr">
        <is>
          <t>백두대간보호구역</t>
        </is>
      </c>
      <c r="C19" s="1" t="inlineStr">
        <is>
          <t>브이월드(V-World)</t>
        </is>
      </c>
      <c r="D19" s="1" t="inlineStr">
        <is>
          <t>LT_C_UF901</t>
        </is>
      </c>
      <c r="E19" s="1" t="inlineStr">
        <is>
          <t>산림청</t>
        </is>
      </c>
      <c r="H19" s="1" t="inlineStr">
        <is>
          <t>https://www.vworld.kr/dev/v4dv_2ddataguide2_s002.do?svcIde=uf901</t>
        </is>
      </c>
    </row>
    <row r="20" customFormat="1" s="1">
      <c r="A20" s="1" t="inlineStr">
        <is>
          <t>야생동식물보호</t>
        </is>
      </c>
      <c r="B20" s="1" t="inlineStr">
        <is>
          <t>야생동물보호구역</t>
        </is>
      </c>
      <c r="C20" s="1" t="inlineStr">
        <is>
          <t>브이월드(V-World)</t>
        </is>
      </c>
      <c r="D20" s="1" t="inlineStr">
        <is>
          <t>LT_C_UM221</t>
        </is>
      </c>
      <c r="E20" s="1" t="inlineStr">
        <is>
          <t>환경부</t>
        </is>
      </c>
      <c r="H20" s="1" t="inlineStr">
        <is>
          <t>https://www.vworld.kr/dev/v4dv_2ddataguide2_s002.do?svcIde=um221</t>
        </is>
      </c>
    </row>
    <row r="21" customFormat="1" s="1">
      <c r="A21" s="1" t="inlineStr">
        <is>
          <t>문화재보호도</t>
        </is>
      </c>
      <c r="B21" s="1" t="inlineStr">
        <is>
          <t>문화재보호구역</t>
        </is>
      </c>
      <c r="C21" s="1" t="inlineStr">
        <is>
          <t>브이월드(V-World) (+ 코드: 행정표준코드관리시스템)</t>
        </is>
      </c>
      <c r="D21" s="1" t="inlineStr">
        <is>
          <t>LT_C_UO301</t>
        </is>
      </c>
      <c r="E21" s="1" t="inlineStr">
        <is>
          <t>국가유산청</t>
        </is>
      </c>
      <c r="G21" s="1" t="inlineStr">
        <is>
          <t>https://www.code.go.kr/stdcode/normalCodeL.do</t>
        </is>
      </c>
      <c r="H21" s="1" t="inlineStr">
        <is>
          <t>https://www.vworld.kr/dev/v4dv_2ddataguide2_s002.do?svcIde=uo301</t>
        </is>
      </c>
    </row>
    <row r="22" customFormat="1" s="1">
      <c r="A22" s="1" t="inlineStr">
        <is>
          <t>문화재보호도</t>
        </is>
      </c>
      <c r="B22" s="1" t="inlineStr">
        <is>
          <t>등록문화재</t>
        </is>
      </c>
      <c r="C22" s="1" t="inlineStr">
        <is>
          <t>브이월드(V-World)</t>
        </is>
      </c>
      <c r="D22" s="1" t="inlineStr">
        <is>
          <t>LT_C_UO301</t>
        </is>
      </c>
      <c r="E22" s="1" t="inlineStr">
        <is>
          <t>국가유산청</t>
        </is>
      </c>
      <c r="H22" s="1" t="inlineStr">
        <is>
          <t>https://www.vworld.kr/dev/v4dv_2ddataguide2_s002.do?svcIde=uo301</t>
        </is>
      </c>
    </row>
    <row r="23" customFormat="1" s="1">
      <c r="A23" s="1" t="inlineStr">
        <is>
          <t>문화재보호도</t>
        </is>
      </c>
      <c r="B23" s="1" t="inlineStr">
        <is>
          <t>국가지정문화재</t>
        </is>
      </c>
      <c r="C23" s="1" t="inlineStr">
        <is>
          <t>브이월드(V-World)</t>
        </is>
      </c>
      <c r="D23" s="1" t="inlineStr">
        <is>
          <t>LT_C_UO301</t>
        </is>
      </c>
      <c r="E23" s="1" t="inlineStr">
        <is>
          <t>국가유산청</t>
        </is>
      </c>
      <c r="H23" s="1" t="inlineStr">
        <is>
          <t>https://www.vworld.kr/dev/v4dv_2ddataguide2_s002.do?svcIde=uo301</t>
        </is>
      </c>
    </row>
    <row r="24" customFormat="1" s="1">
      <c r="A24" s="1" t="inlineStr">
        <is>
          <t>문화재보호도</t>
        </is>
      </c>
      <c r="B24" s="1" t="inlineStr">
        <is>
          <t>시도지정문화재</t>
        </is>
      </c>
      <c r="C24" s="1" t="inlineStr">
        <is>
          <t>브이월드(V-World)</t>
        </is>
      </c>
      <c r="D24" s="1" t="inlineStr">
        <is>
          <t>LT_C_UO301</t>
        </is>
      </c>
      <c r="E24" s="1" t="inlineStr">
        <is>
          <t>국가유산청</t>
        </is>
      </c>
      <c r="H24" s="1" t="inlineStr">
        <is>
          <t>https://www.vworld.kr/dev/v4dv_2ddataguide2_s002.do?svcIde=uo301</t>
        </is>
      </c>
    </row>
    <row r="25" customFormat="1" s="1">
      <c r="A25" s="1" t="inlineStr">
        <is>
          <t>자연환경보전지역</t>
        </is>
      </c>
      <c r="B25" s="1" t="inlineStr">
        <is>
          <t>자연환경보전지역</t>
        </is>
      </c>
      <c r="C25" s="1" t="inlineStr">
        <is>
          <t>브이월드(V-World) (+ 코드: 행정표준코드관리시스템)</t>
        </is>
      </c>
      <c r="D25" s="1" t="inlineStr">
        <is>
          <t>LT_C_UQ114</t>
        </is>
      </c>
      <c r="E25" s="1" t="inlineStr">
        <is>
          <t>환경부</t>
        </is>
      </c>
      <c r="G25" s="1" t="inlineStr">
        <is>
          <t>https://www.code.go.kr/stdcodesrch/classSearchL.do</t>
        </is>
      </c>
      <c r="H25" s="1" t="inlineStr">
        <is>
          <t>https://www.vworld.kr/dev/v4dv_2ddataguide2_s002.do?svcIde=uq114</t>
        </is>
      </c>
    </row>
    <row r="26" customFormat="1" s="1">
      <c r="A26" s="1" t="inlineStr">
        <is>
          <t>취락지구</t>
        </is>
      </c>
      <c r="B26" s="1" t="inlineStr">
        <is>
          <t>취락지구</t>
        </is>
      </c>
      <c r="C26" s="1" t="inlineStr">
        <is>
          <t>브이월드(V-World)</t>
        </is>
      </c>
      <c r="D26" s="1" t="inlineStr">
        <is>
          <t>LT_C_UQ128</t>
        </is>
      </c>
      <c r="E26" s="1" t="inlineStr">
        <is>
          <t>국토교통부</t>
        </is>
      </c>
      <c r="H26" s="1" t="inlineStr">
        <is>
          <t>https://www.vworld.kr/dev/v4dv_2ddataguide2_s002.do?svcIde=uq128</t>
        </is>
      </c>
    </row>
    <row r="27" customFormat="1" s="1">
      <c r="A27" s="1" t="inlineStr">
        <is>
          <t>도시자연공원</t>
        </is>
      </c>
      <c r="B27" s="1" t="inlineStr">
        <is>
          <t>자연공원</t>
        </is>
      </c>
      <c r="C27" s="1" t="inlineStr">
        <is>
          <t>브이월드(V-World)</t>
        </is>
      </c>
      <c r="D27" s="1" t="inlineStr">
        <is>
          <t>LT_C_UQ162</t>
        </is>
      </c>
      <c r="E27" s="1" t="inlineStr">
        <is>
          <t>환경부</t>
        </is>
      </c>
      <c r="H27" s="1" t="inlineStr">
        <is>
          <t>https://www.vworld.kr/dev/v4dv_2ddataguide2_s002.do?svcIde=uq162</t>
        </is>
      </c>
    </row>
    <row r="28" customFormat="1" s="1">
      <c r="A28" s="1" t="inlineStr">
        <is>
          <t>도립공원</t>
        </is>
      </c>
      <c r="B28" s="1" t="inlineStr">
        <is>
          <t>자연공원</t>
        </is>
      </c>
      <c r="C28" s="1" t="inlineStr">
        <is>
          <t>브이월드(V-World)</t>
        </is>
      </c>
      <c r="D28" s="1" t="inlineStr">
        <is>
          <t>LT_C_WGISNPDO</t>
        </is>
      </c>
      <c r="E28" s="1" t="inlineStr">
        <is>
          <t>환경부 / 관할 지자체</t>
        </is>
      </c>
      <c r="H28" s="1" t="inlineStr">
        <is>
          <t>https://www.vworld.kr/dev/v4dv_2ddataguide2_s002.do?svcIde=wgisnpdo</t>
        </is>
      </c>
    </row>
    <row r="29" customFormat="1" s="1">
      <c r="A29" s="1" t="inlineStr">
        <is>
          <t>국립공원</t>
        </is>
      </c>
      <c r="B29" s="1" t="inlineStr">
        <is>
          <t>자연공원</t>
        </is>
      </c>
      <c r="C29" s="1" t="inlineStr">
        <is>
          <t>브이월드(V-World)</t>
        </is>
      </c>
      <c r="D29" s="1" t="inlineStr">
        <is>
          <t>LT_C_WGISNPGUG</t>
        </is>
      </c>
      <c r="E29" s="1" t="inlineStr">
        <is>
          <t>환경부</t>
        </is>
      </c>
      <c r="H29" s="1" t="inlineStr">
        <is>
          <t>https://www.vworld.kr/dev/v4dv_2ddataguide2_s002.do?svcIde=wgisnpgug</t>
        </is>
      </c>
    </row>
    <row r="30" customFormat="1" s="1">
      <c r="A30" s="1" t="inlineStr">
        <is>
          <t>군립공원</t>
        </is>
      </c>
      <c r="B30" s="1" t="inlineStr">
        <is>
          <t>자연공원</t>
        </is>
      </c>
      <c r="C30" s="1" t="inlineStr">
        <is>
          <t>브이월드(V-World)</t>
        </is>
      </c>
      <c r="D30" s="1" t="inlineStr">
        <is>
          <t>LT_C_WGISNPGUN</t>
        </is>
      </c>
      <c r="E30" s="1" t="inlineStr">
        <is>
          <t>환경부 / 관할 지자체</t>
        </is>
      </c>
      <c r="H30" s="1" t="inlineStr">
        <is>
          <t>https://www.vworld.kr/dev/v4dv_2ddataguide2_s002.do?svcIde=wgisnpgun</t>
        </is>
      </c>
    </row>
    <row r="31" customFormat="1" s="1">
      <c r="A31" s="1" t="inlineStr">
        <is>
          <t>하천망</t>
        </is>
      </c>
      <c r="B31" s="1" t="inlineStr">
        <is>
          <t>하천</t>
        </is>
      </c>
      <c r="C31" s="1" t="inlineStr">
        <is>
          <t>브이월드(V-World)</t>
        </is>
      </c>
      <c r="D31" s="1" t="inlineStr">
        <is>
          <t>LT_C_WKMSTRM</t>
        </is>
      </c>
      <c r="E31" s="1" t="inlineStr">
        <is>
          <t>환경부</t>
        </is>
      </c>
      <c r="H31" s="1" t="inlineStr">
        <is>
          <t>https://www.vworld.kr/dev/v4dv_2ddataguide2_s002.do?svcIde=wkmstrm</t>
        </is>
      </c>
    </row>
    <row r="32" customFormat="1" s="1">
      <c r="A32" s="2" t="inlineStr">
        <is>
          <t>호수/저수지</t>
        </is>
      </c>
      <c r="B32" s="1" t="inlineStr">
        <is>
          <t>호수및저수지</t>
        </is>
      </c>
      <c r="C32" s="1" t="inlineStr">
        <is>
          <t>브이월드(V-World)</t>
        </is>
      </c>
      <c r="D32" s="1" t="inlineStr">
        <is>
          <t>N3A_E0052114</t>
        </is>
      </c>
      <c r="E32" s="1" t="inlineStr">
        <is>
          <t>국토교통부</t>
        </is>
      </c>
      <c r="H32" s="1" t="inlineStr">
        <is>
          <t>https://www.vworld.kr/dtmk/dtmk_ntads_s002.do?svcCde=MK&amp;dsId=30256</t>
        </is>
      </c>
    </row>
    <row r="33" customFormat="1" s="1">
      <c r="A33" s="1" t="inlineStr">
        <is>
          <t>수산자원보호구역</t>
        </is>
      </c>
      <c r="B33" s="1" t="inlineStr">
        <is>
          <t>수산자원보호구역</t>
        </is>
      </c>
      <c r="C33" s="1" t="inlineStr">
        <is>
          <t>해양환경정보포털(MEIS)</t>
        </is>
      </c>
      <c r="D33" s="1" t="inlineStr">
        <is>
          <t>REF_FRP</t>
        </is>
      </c>
      <c r="E33" s="1" t="inlineStr">
        <is>
          <t>해양수산부</t>
        </is>
      </c>
      <c r="H33" s="1" t="inlineStr">
        <is>
          <t>https://www.meis.go.kr/map/oemsBaseMap.do</t>
        </is>
      </c>
    </row>
    <row r="34" customFormat="1" s="1">
      <c r="A34" s="1" t="inlineStr">
        <is>
          <t>환경보전해역</t>
        </is>
      </c>
      <c r="B34" s="1" t="inlineStr">
        <is>
          <t>환경보전해역</t>
        </is>
      </c>
      <c r="C34" s="1" t="inlineStr">
        <is>
          <t>해양환경정보포털(MEIS)</t>
        </is>
      </c>
      <c r="D34" s="1" t="inlineStr">
        <is>
          <t>REF_SEC</t>
        </is>
      </c>
      <c r="E34" s="1" t="inlineStr">
        <is>
          <t>해양수산부</t>
        </is>
      </c>
      <c r="H34" s="1" t="inlineStr">
        <is>
          <t>https://www.meis.go.kr/map/oemsBaseMap.do</t>
        </is>
      </c>
    </row>
    <row r="35" customFormat="1" s="1">
      <c r="A35" s="1" t="inlineStr">
        <is>
          <t>특별관리해역</t>
        </is>
      </c>
      <c r="B35" s="1" t="inlineStr">
        <is>
          <t>특별관리해역</t>
        </is>
      </c>
      <c r="C35" s="1" t="inlineStr">
        <is>
          <t>해양환경정보포털(MEIS)</t>
        </is>
      </c>
      <c r="D35" s="1" t="inlineStr">
        <is>
          <t>REF_SMW</t>
        </is>
      </c>
      <c r="E35" s="1" t="inlineStr">
        <is>
          <t>해양수산부</t>
        </is>
      </c>
      <c r="H35" s="1" t="inlineStr">
        <is>
          <t>https://www.meis.go.kr/map/oemsBaseMap.do</t>
        </is>
      </c>
    </row>
    <row r="36" ht="32.75" customFormat="1" customHeight="1" s="1">
      <c r="A36" s="2" t="inlineStr">
        <is>
          <t>수치표고모델(DEM)_90M</t>
        </is>
      </c>
      <c r="B36" s="1" t="inlineStr">
        <is>
          <t>임야경사도</t>
        </is>
      </c>
      <c r="C36" s="1" t="inlineStr">
        <is>
          <t>브이월드(V-World)</t>
        </is>
      </c>
      <c r="D36" s="1" t="inlineStr">
        <is>
          <t>slope_over_15</t>
        </is>
      </c>
      <c r="E36" s="1" t="inlineStr">
        <is>
          <t>국토교통부</t>
        </is>
      </c>
      <c r="H36" s="1" t="inlineStr">
        <is>
          <t>https://www.vworld.kr/dtmk/dtmk_ntads_s002.do?searchKeyword=%EC%88%98%EC%B9%98%ED%91%9C%EA%B3%A0&amp;searchOrganization=&amp;searchBrmCode=&amp;searchTagList=&amp;searchFrm=&amp;pageIndex=1&amp;gidmCd=&amp;gidsCd=&amp;sortType=00&amp;svcCde=MK&amp;dsId=30206&amp;listPageIndex=1</t>
        </is>
      </c>
    </row>
    <row r="37" customFormat="1" s="1">
      <c r="A37" s="1" t="inlineStr">
        <is>
          <t>행정구역시군구_경계</t>
        </is>
      </c>
      <c r="B37" s="1" t="inlineStr">
        <is>
          <t>시군구경계</t>
        </is>
      </c>
      <c r="C37" s="1" t="inlineStr">
        <is>
          <t>브이월드(V-World)</t>
        </is>
      </c>
      <c r="D37" s="1" t="inlineStr">
        <is>
          <t>Basemap</t>
        </is>
      </c>
      <c r="E37" s="1" t="inlineStr">
        <is>
          <t>국토교통부</t>
        </is>
      </c>
      <c r="H37" s="1" t="inlineStr">
        <is>
          <t>https://www.vworld.kr/dtmk/dtmk_ntads_s002.do?searchBrmCode=&amp;datIde=30604&amp;searchFrm=&amp;dsId=30604&amp;pageSize=10&amp;pageUnit=10&amp;listPageIndex=1&amp;paginationInfo=egovframework.rte.ptl.mvc.tags.ui.pagination.PaginationInfo%407728dac0&amp;gidsCd=&amp;searchKeyword=%EA%B2%BD%EA%B3%84&amp;searchOrganization=&amp;svcCde=MK&amp;searchTagList=&amp;pageIndex=1&amp;gidmCd=&amp;sortType=00&amp;searchKeyword2=&amp;datPageIndex=1&amp;datPageSize=25</t>
        </is>
      </c>
    </row>
    <row r="38" customFormat="1" s="1">
      <c r="A38" s="1" t="inlineStr">
        <is>
          <t>산림기능구분도</t>
        </is>
      </c>
      <c r="B38" s="1" t="inlineStr">
        <is>
          <t>산림지역</t>
        </is>
      </c>
      <c r="C38" s="1" t="inlineStr">
        <is>
          <t>브이월드(V-World)</t>
        </is>
      </c>
      <c r="D38" s="1" t="inlineStr">
        <is>
          <t>TB_FGDI_CNMP</t>
        </is>
      </c>
      <c r="E38" s="1" t="inlineStr">
        <is>
          <t>산림청</t>
        </is>
      </c>
      <c r="H38" s="1" t="inlineStr">
        <is>
          <t>https://www.vworld.kr/dtmk/dtmk_ntads_s002.do?searchKeyword=%EC%82%B0%EB%A6%BC%EA%B8%B0%EB%8A%A5&amp;searchOrganization=&amp;searchBrmCode=&amp;searchTagList=&amp;searchFrm=&amp;pageIndex=1&amp;gidmCd=&amp;gidsCd=&amp;sortType=00&amp;svcCde=MK&amp;dsId=30131&amp;listPageIndex=1</t>
        </is>
      </c>
    </row>
    <row r="1048566" ht="15" customHeight="1" s="5"/>
    <row r="1048567" ht="15" customHeight="1" s="5"/>
    <row r="1048568" ht="15" customHeight="1" s="5"/>
    <row r="1048569" ht="15" customHeight="1" s="5"/>
    <row r="1048570" ht="15" customHeight="1" s="5"/>
    <row r="1048571" ht="15" customHeight="1" s="5"/>
    <row r="1048572" ht="15" customHeight="1" s="5"/>
    <row r="1048573" ht="15" customHeight="1" s="5"/>
    <row r="1048574" ht="15" customHeight="1" s="5"/>
    <row r="1048575" ht="15" customHeight="1" s="5"/>
    <row r="1048576" ht="15" customHeight="1" s="5"/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3.xml><?xml version="1.0" encoding="utf-8"?>
<worksheet xmlns="http://schemas.openxmlformats.org/spreadsheetml/2006/main">
  <sheetPr codeName="Sheet18">
    <outlinePr summaryBelow="1" summaryRight="1"/>
    <pageSetUpPr/>
  </sheetPr>
  <dimension ref="A1:A23"/>
  <sheetViews>
    <sheetView tabSelected="1" topLeftCell="A1" zoomScaleNormal="100" zoomScaleSheetLayoutView="75" workbookViewId="0">
      <selection activeCell="K14" activeCellId="0" sqref="K14:K14"/>
    </sheetView>
  </sheetViews>
  <sheetFormatPr baseColWidth="8" defaultColWidth="9.00390625" defaultRowHeight="16.4"/>
  <sheetData>
    <row r="1">
      <c r="A1" s="4" t="inlineStr">
        <is>
          <t>■ 발전량 산출식 검증</t>
        </is>
      </c>
    </row>
    <row r="2">
      <c r="A2" s="4" t="inlineStr">
        <is>
          <t>[상수]</t>
        </is>
      </c>
    </row>
    <row r="3">
      <c r="A3" s="4" t="inlineStr">
        <is>
          <t>• Power Density = 차광률 22.5% × 패널효율 20% = 0.045 kW/m²</t>
        </is>
      </c>
    </row>
    <row r="4">
      <c r="A4" s="4" t="inlineStr">
        <is>
          <t>• 설비이용률 15% (일평균 3.6h) — 한국전력거래소 EPSIS</t>
        </is>
      </c>
    </row>
    <row r="5">
      <c r="A5" s="4" t="inlineStr">
        <is>
          <t>• 패널 기준: 한화큐셀 Q.TRON G2</t>
        </is>
      </c>
    </row>
    <row r="7">
      <c r="A7" s="4" t="inlineStr">
        <is>
          <t>[계산식]</t>
        </is>
      </c>
    </row>
    <row r="8">
      <c r="A8" s="4" t="inlineStr">
        <is>
          <t>• 설비용량(MW) = 면적(m²) × 0.045 ÷ 1,000</t>
        </is>
      </c>
    </row>
    <row r="9">
      <c r="A9" s="4" t="inlineStr">
        <is>
          <t>• 연간발전량(MWh) = MW × 1,314  (= 8,760h × 15%)</t>
        </is>
      </c>
    </row>
    <row r="10">
      <c r="A10" s="4" t="inlineStr">
        <is>
          <t>• 자급률(%) = 연간발전량 ÷ (최대수요MW × 8,760 × 60%)</t>
        </is>
      </c>
    </row>
    <row r="12">
      <c r="A12" s="4" t="inlineStr">
        <is>
          <t>[사례 검증]</t>
        </is>
      </c>
    </row>
    <row r="13">
      <c r="A13" s="4" t="inlineStr">
        <is>
          <t xml:space="preserve">  사례              면적           용량         발전량/년</t>
        </is>
      </c>
    </row>
    <row r="14">
      <c r="A14" s="4" t="inlineStr">
        <is>
          <t xml:space="preserve">  전남 영암 실증     1,000 m²      45 kW       59.13 MWh</t>
        </is>
      </c>
    </row>
    <row r="15">
      <c r="A15" s="4" t="inlineStr">
        <is>
          <t xml:space="preserve">  소규모 농지       10,000 m²      0.45 MW     591.3 MWh</t>
        </is>
      </c>
    </row>
    <row r="16">
      <c r="A16" s="4" t="inlineStr">
        <is>
          <t xml:space="preserve">  10 ha 농지       100,000 m²     4.5 MW      5,913 MWh</t>
        </is>
      </c>
    </row>
    <row r="17">
      <c r="A17" s="4" t="inlineStr">
        <is>
          <t xml:space="preserve">  한국 1MW 평균     지역별         1 MW        1,300~1,500 MWh</t>
        </is>
      </c>
    </row>
    <row r="18">
      <c r="A18" s="4" t="inlineStr">
        <is>
          <t xml:space="preserve">                                               (본 분석 1,314 → 보수적·합리적)</t>
        </is>
      </c>
    </row>
    <row r="20">
      <c r="A20" s="4" t="inlineStr">
        <is>
          <t>[코드 무결성 — 2026.06.05]</t>
        </is>
      </c>
    </row>
    <row r="21">
      <c r="A21" s="4" t="inlineStr">
        <is>
          <t>• 13개 시군 HTML 전수검사: 차광률 0.30 사용처 없음</t>
        </is>
      </c>
    </row>
    <row r="22">
      <c r="A22" s="4" t="inlineStr">
        <is>
          <t>• PANEL_DENSITY = 0.225 × 0.20 — 13개 파일 동일</t>
        </is>
      </c>
    </row>
    <row r="23">
      <c r="A23" s="4" t="inlineStr">
        <is>
          <t>• 출처 표기 통일: Q.TRON G2 / 한국전력거래소 EPSIS / 차광률 22.5%</t>
        </is>
      </c>
    </row>
  </sheetData>
  <pageMargins left="0.7480555772781372" right="0.7480555772781372" top="0.9843055605888367" bottom="0.9843055605888367" header="0.5115277767181396" footer="0.5115277767181396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4"/>
  <sheetViews>
    <sheetView topLeftCell="A1" zoomScaleNormal="100" zoomScaleSheetLayoutView="75" workbookViewId="0">
      <selection activeCell="A1" activeCellId="0" sqref="A1:A24"/>
    </sheetView>
  </sheetViews>
  <sheetFormatPr baseColWidth="8" defaultColWidth="9.00390625" defaultRowHeight="16.4"/>
  <cols>
    <col width="10.62890625" bestFit="1" customWidth="1" style="4" min="1" max="1"/>
    <col width="33.5390625" bestFit="1" customWidth="1" style="4" min="2" max="2"/>
    <col width="23.15625" bestFit="1" customWidth="1" style="4" min="3" max="3"/>
    <col width="38.08984375" bestFit="1" customWidth="1" style="4" min="4" max="4"/>
  </cols>
  <sheetData>
    <row r="1">
      <c r="A1" s="4" t="inlineStr">
        <is>
          <t>변수</t>
        </is>
      </c>
      <c r="B1" s="4" t="inlineStr">
        <is>
          <t>수식</t>
        </is>
      </c>
      <c r="C1" s="4" t="inlineStr">
        <is>
          <t>수치_대입</t>
        </is>
      </c>
      <c r="D1" s="4" t="inlineStr">
        <is>
          <t>설명</t>
        </is>
      </c>
      <c r="E1" s="4" t="inlineStr">
        <is>
          <t>단위</t>
        </is>
      </c>
    </row>
    <row r="2">
      <c r="A2" s="4" t="inlineStr">
        <is>
          <t>설치용량</t>
        </is>
      </c>
      <c r="B2" s="1" t="inlineStr">
        <is>
          <t>면적(m²) × 차광률 × 패널효율 / 1,000</t>
        </is>
      </c>
      <c r="C2" s="1" t="inlineStr">
        <is>
          <t>면적 × 0.225 × 0.20 / 1,000 = 면적 × 0.045 / 1,000</t>
        </is>
      </c>
      <c r="D2" s="4" t="inlineStr">
        <is>
          <t>차광률 22.5% x 패널효율 20% = 0.045 kW/m2</t>
        </is>
      </c>
      <c r="E2" s="4" t="inlineStr">
        <is>
          <t>m2 -&gt; MW</t>
        </is>
      </c>
    </row>
    <row r="3">
      <c r="A3" s="4" t="inlineStr">
        <is>
          <t>연간발전량</t>
        </is>
      </c>
      <c r="B3" s="1" t="inlineStr">
        <is>
          <t>설치용량(MW) × 8,760 × 설비이용률</t>
        </is>
      </c>
      <c r="C3" s="1" t="inlineStr">
        <is>
          <t>MW × 8,760 × 0.15 = MW × 1,314</t>
        </is>
      </c>
      <c r="D3" s="1" t="inlineStr">
        <is>
          <t>연간 시간(8,760 h/년) × 설비이용률 15%</t>
        </is>
      </c>
      <c r="E3" s="4" t="inlineStr">
        <is>
          <t>MW -&gt; MWh/년</t>
        </is>
      </c>
    </row>
    <row r="4">
      <c r="A4" s="4" t="inlineStr">
        <is>
          <t>자급률</t>
        </is>
      </c>
      <c r="B4" s="1" t="inlineStr">
        <is>
          <t>연간발전량(MWh) / 산단소비량(MWh) × 100</t>
        </is>
      </c>
      <c r="C4" s="1" t="inlineStr">
        <is>
          <t>MWh / MWh × 100</t>
        </is>
      </c>
      <c r="D4" s="1" t="inlineStr">
        <is>
          <t>산업단지 연간 전력소비량 대비 발전량 비율</t>
        </is>
      </c>
      <c r="E4" s="4" t="inlineStr">
        <is>
          <t>%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E5"/>
  <sheetViews>
    <sheetView topLeftCell="A1" zoomScaleNormal="100" zoomScaleSheetLayoutView="75" workbookViewId="0">
      <selection activeCell="D8" activeCellId="0" sqref="D8:D8"/>
    </sheetView>
  </sheetViews>
  <sheetFormatPr baseColWidth="8" defaultColWidth="9.00390625" defaultRowHeight="16.4"/>
  <cols>
    <col width="15.4375" bestFit="1" customWidth="1" style="4" min="2" max="2"/>
    <col width="18.09375" bestFit="1" customWidth="1" style="4" min="3" max="3"/>
    <col width="31.890625" bestFit="1" customWidth="1" style="4" min="4" max="4"/>
  </cols>
  <sheetData>
    <row r="1">
      <c r="A1" s="4" t="inlineStr">
        <is>
          <t>상수</t>
        </is>
      </c>
      <c r="B1" s="4" t="inlineStr">
        <is>
          <t>값</t>
        </is>
      </c>
      <c r="C1" s="4" t="inlineStr">
        <is>
          <t>의미</t>
        </is>
      </c>
      <c r="D1" s="4" t="inlineStr">
        <is>
          <t>근거</t>
        </is>
      </c>
      <c r="E1" s="4" t="inlineStr">
        <is>
          <t>비고</t>
        </is>
      </c>
    </row>
    <row r="2">
      <c r="A2" s="4" t="inlineStr">
        <is>
          <t>차광률</t>
        </is>
      </c>
      <c r="B2" s="3" t="inlineStr">
        <is>
          <t>0.225 (22.5%)</t>
        </is>
      </c>
      <c r="C2" s="1" t="inlineStr">
        <is>
          <t>패널이 차지하는 면적 비율</t>
        </is>
      </c>
      <c r="D2" s="1" t="inlineStr">
        <is>
          <t>적 비율전남 영암군 실증 역산 (1,000m²→45kW, 2024)</t>
        </is>
      </c>
      <c r="E2" s="1" t="inlineStr">
        <is>
          <t>일사 통과율 77.5%</t>
        </is>
      </c>
    </row>
    <row r="3">
      <c r="A3" s="4" t="inlineStr">
        <is>
          <t>패널효율</t>
        </is>
      </c>
      <c r="B3" s="4" t="inlineStr">
        <is>
          <t>0.20 (20%)</t>
        </is>
      </c>
      <c r="C3" s="1" t="inlineStr">
        <is>
          <t>패널 전환 효율 (보수적 적용)</t>
        </is>
      </c>
      <c r="D3" s="1" t="inlineStr">
        <is>
          <t>한화 Q.TRON G2 22.7% 대비 보수적 설정</t>
        </is>
      </c>
      <c r="E3" s="1" t="inlineStr">
        <is>
          <t>Q.TRON G2 적용 시 22.7%</t>
        </is>
      </c>
    </row>
    <row r="4">
      <c r="A4" s="4" t="inlineStr">
        <is>
          <t>연간 시간</t>
        </is>
      </c>
      <c r="B4" s="4" t="inlineStr">
        <is>
          <t>8,760</t>
        </is>
      </c>
      <c r="C4" s="4" t="inlineStr">
        <is>
          <t>24h x 365일</t>
        </is>
      </c>
      <c r="D4" s="4" t="inlineStr">
        <is>
          <t>정의</t>
        </is>
      </c>
    </row>
    <row r="5">
      <c r="A5" s="4" t="inlineStr">
        <is>
          <t>설비이용률</t>
        </is>
      </c>
      <c r="B5" s="4" t="inlineStr">
        <is>
          <t>0.15 (15%)</t>
        </is>
      </c>
      <c r="C5" s="1" t="inlineStr">
        <is>
          <t>연간 실제 발전 비율</t>
        </is>
      </c>
      <c r="D5" s="4" t="inlineStr">
        <is>
          <t>한국전력거래소(EPSIS) 평균 14-15%</t>
        </is>
      </c>
      <c r="E5" s="4" t="inlineStr">
        <is>
          <t>영농형 차광 감안 보수적 적용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D4"/>
  <sheetViews>
    <sheetView topLeftCell="A1" zoomScaleNormal="100" zoomScaleSheetLayoutView="75" workbookViewId="0">
      <selection activeCell="A6" activeCellId="0" sqref="A6:A6"/>
    </sheetView>
  </sheetViews>
  <sheetFormatPr baseColWidth="8" defaultColWidth="9.00390625" defaultRowHeight="16.4"/>
  <cols>
    <col width="14.5546875" bestFit="1" customWidth="1" style="4" min="1" max="1"/>
    <col width="10.87890625" bestFit="1" customWidth="1" style="4" min="2" max="2"/>
    <col width="18.7265625" bestFit="1" customWidth="1" style="4" min="3" max="3"/>
  </cols>
  <sheetData>
    <row r="1">
      <c r="A1" s="4" t="inlineStr">
        <is>
          <t>사례</t>
        </is>
      </c>
      <c r="B1" s="4" t="inlineStr">
        <is>
          <t>조건</t>
        </is>
      </c>
      <c r="C1" s="4" t="inlineStr">
        <is>
          <t>용량</t>
        </is>
      </c>
      <c r="D1" s="4" t="inlineStr">
        <is>
          <t>발전량</t>
        </is>
      </c>
    </row>
    <row r="2">
      <c r="A2" s="4" t="inlineStr">
        <is>
          <t>10 ha 농지</t>
        </is>
      </c>
      <c r="B2" s="4" t="inlineStr">
        <is>
          <t>100,000 m2</t>
        </is>
      </c>
      <c r="C2" s="4" t="inlineStr">
        <is>
          <t>6 MW</t>
        </is>
      </c>
      <c r="D2" s="4" t="inlineStr">
        <is>
          <t>7,884 MWh/년</t>
        </is>
      </c>
    </row>
    <row r="3">
      <c r="A3" s="4" t="inlineStr">
        <is>
          <t>1,000 m2</t>
        </is>
      </c>
      <c r="B3" s="4" t="inlineStr">
        <is>
          <t>소형 필지</t>
        </is>
      </c>
      <c r="C3" s="4" t="inlineStr">
        <is>
          <t>0.06 MW (60 kW)</t>
        </is>
      </c>
      <c r="D3" s="4" t="inlineStr">
        <is>
          <t>78.84 MWh/년</t>
        </is>
      </c>
    </row>
    <row r="4">
      <c r="A4" s="4" t="inlineStr">
        <is>
          <t>한국 1MW 평균</t>
        </is>
      </c>
      <c r="B4" s="4" t="inlineStr">
        <is>
          <t>지역별</t>
        </is>
      </c>
      <c r="C4" s="4" t="inlineStr">
        <is>
          <t>1,300-1,500 MWh/년</t>
        </is>
      </c>
      <c r="D4" s="4" t="inlineStr">
        <is>
          <t>본 분석 1,314 MWh -&gt; 합리적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H15"/>
  <sheetViews>
    <sheetView topLeftCell="A1" zoomScaleNormal="100" zoomScaleSheetLayoutView="75" workbookViewId="0">
      <selection activeCell="A1" activeCellId="0" sqref="A1:A1"/>
    </sheetView>
  </sheetViews>
  <sheetFormatPr baseColWidth="8" defaultColWidth="9.00390625" defaultRowHeight="16.4"/>
  <sheetData>
    <row r="1">
      <c r="A1" s="4" t="inlineStr">
        <is>
          <t>변수</t>
        </is>
      </c>
      <c r="B1" s="4" t="inlineStr">
        <is>
          <t>라벨</t>
        </is>
      </c>
      <c r="C1" s="4" t="inlineStr">
        <is>
          <t>조건</t>
        </is>
      </c>
      <c r="D1" s="4" t="inlineStr">
        <is>
          <t>협의_주체</t>
        </is>
      </c>
      <c r="E1" s="4" t="inlineStr">
        <is>
          <t>근거_법령</t>
        </is>
      </c>
      <c r="F1" s="4" t="inlineStr">
        <is>
          <t>근거_조항</t>
        </is>
      </c>
      <c r="G1" s="4" t="inlineStr">
        <is>
          <t>협의_절차</t>
        </is>
      </c>
      <c r="H1" s="4" t="inlineStr">
        <is>
          <t>참고_URL</t>
        </is>
      </c>
    </row>
    <row r="2">
      <c r="A2" s="4" t="inlineStr">
        <is>
          <t>needs_S0_clean</t>
        </is>
      </c>
      <c r="B2" s="4" t="inlineStr">
        <is>
          <t>현행법 즉시 가능</t>
        </is>
      </c>
      <c r="C2" s="4" t="inlineStr">
        <is>
          <t>농지 AND 진흥외 AND 비시설 AND 상위법 없음</t>
        </is>
      </c>
      <c r="D2" s="4" t="inlineStr">
        <is>
          <t>협의 불필요</t>
        </is>
      </c>
      <c r="E2" s="4" t="inlineStr">
        <is>
          <t>현행법</t>
        </is>
      </c>
      <c r="F2" s="4" t="inlineStr">
        <is>
          <t>-</t>
        </is>
      </c>
      <c r="G2" s="4" t="inlineStr">
        <is>
          <t>없음</t>
        </is>
      </c>
      <c r="H2" s="4" t="inlineStr">
        <is>
          <t>https://www.law.go.kr</t>
        </is>
      </c>
    </row>
    <row r="3">
      <c r="A3" s="4" t="inlineStr">
        <is>
          <t>needs_agp_other</t>
        </is>
      </c>
      <c r="B3" s="4" t="inlineStr">
        <is>
          <t>농업진흥지역 기타</t>
        </is>
      </c>
      <c r="C3" s="4" t="inlineStr">
        <is>
          <t>UEA100/UEA999</t>
        </is>
      </c>
      <c r="D3" s="4" t="inlineStr">
        <is>
          <t>농림축산식품부</t>
        </is>
      </c>
      <c r="E3" s="4" t="inlineStr">
        <is>
          <t>농지법</t>
        </is>
      </c>
      <c r="F3" s="4" t="inlineStr">
        <is>
          <t>행정 협의</t>
        </is>
      </c>
      <c r="G3" s="4" t="inlineStr">
        <is>
          <t>농식품부 행정 협의</t>
        </is>
      </c>
      <c r="H3" s="4" t="inlineStr">
        <is>
          <t>https://www.law.go.kr/법령/농지법</t>
        </is>
      </c>
    </row>
    <row r="4">
      <c r="A4" s="4" t="inlineStr">
        <is>
          <t>needs_agp_protect</t>
        </is>
      </c>
      <c r="B4" s="4" t="inlineStr">
        <is>
          <t>농업보호구역</t>
        </is>
      </c>
      <c r="C4" s="4" t="inlineStr">
        <is>
          <t>UEA120</t>
        </is>
      </c>
      <c r="D4" s="4" t="inlineStr">
        <is>
          <t>농림축산식품부</t>
        </is>
      </c>
      <c r="E4" s="4" t="inlineStr">
        <is>
          <t>농지법</t>
        </is>
      </c>
      <c r="F4" s="4" t="inlineStr">
        <is>
          <t>제30조</t>
        </is>
      </c>
      <c r="G4" s="4" t="inlineStr">
        <is>
          <t>농식품부 협의</t>
        </is>
      </c>
      <c r="H4" s="4" t="inlineStr">
        <is>
          <t>https://www.law.go.kr/법령/농지법/제30조</t>
        </is>
      </c>
    </row>
    <row r="5">
      <c r="A5" s="4" t="inlineStr">
        <is>
          <t>needs_facility</t>
        </is>
      </c>
      <c r="B5" s="4" t="inlineStr">
        <is>
          <t>시설재배지</t>
        </is>
      </c>
      <c r="C5" s="4" t="inlineStr">
        <is>
          <t>INTPR_CD=04</t>
        </is>
      </c>
      <c r="D5" s="4" t="inlineStr">
        <is>
          <t>농림축산식품부</t>
        </is>
      </c>
      <c r="E5" s="4" t="inlineStr">
        <is>
          <t>농지법 시행령</t>
        </is>
      </c>
      <c r="F5" s="4" t="inlineStr">
        <is>
          <t>영농형 대상 확대</t>
        </is>
      </c>
      <c r="G5" s="4" t="inlineStr">
        <is>
          <t>시행령 개정</t>
        </is>
      </c>
      <c r="H5" s="4" t="inlineStr">
        <is>
          <t>https://www.law.go.kr/법령/농지법시행령</t>
        </is>
      </c>
    </row>
    <row r="6">
      <c r="A6" s="4" t="inlineStr">
        <is>
          <t>needs_agp_core</t>
        </is>
      </c>
      <c r="B6" s="4" t="inlineStr">
        <is>
          <t>농업진흥구역 (★ 핵심)</t>
        </is>
      </c>
      <c r="C6" s="4" t="inlineStr">
        <is>
          <t>UEA110</t>
        </is>
      </c>
      <c r="D6" s="4" t="inlineStr">
        <is>
          <t>농림축산식품부</t>
        </is>
      </c>
      <c r="E6" s="4" t="inlineStr">
        <is>
          <t>농지법 + 영농형 태양광 활성화법 (2026.5.7 통과)</t>
        </is>
      </c>
      <c r="F6" s="4" t="inlineStr">
        <is>
          <t>농지법 제28조 + 특별법 재생에너지지구 지정 조항</t>
        </is>
      </c>
      <c r="G6" s="4" t="inlineStr">
        <is>
          <t>영농형 특별법 통과 (2026.5.7). 농업진흥구역 내 재생에너지지구 지정 시 영농형 가능. 시행령 정비 진행 중</t>
        </is>
      </c>
      <c r="H6" s="4" t="inlineStr">
        <is>
          <t>https://www.law.go.kr/법령/영농형태양광발전사업활성화및지원에관한법률</t>
        </is>
      </c>
    </row>
    <row r="7">
      <c r="A7" s="4" t="inlineStr">
        <is>
          <t>needs_jongchunji</t>
        </is>
      </c>
      <c r="B7" s="4" t="inlineStr">
        <is>
          <t>잡종지</t>
        </is>
      </c>
      <c r="C7" s="4" t="inlineStr">
        <is>
          <t>category=28</t>
        </is>
      </c>
      <c r="D7" s="4" t="inlineStr">
        <is>
          <t>농림축산식품부·국토교통부</t>
        </is>
      </c>
      <c r="E7" s="4" t="inlineStr">
        <is>
          <t>농지법</t>
        </is>
      </c>
      <c r="F7" s="4" t="inlineStr">
        <is>
          <t>제2조 1호</t>
        </is>
      </c>
      <c r="G7" s="4" t="inlineStr">
        <is>
          <t>법 개정</t>
        </is>
      </c>
      <c r="H7" s="4" t="inlineStr">
        <is>
          <t>https://www.law.go.kr/법령/농지법/제2조</t>
        </is>
      </c>
    </row>
    <row r="8">
      <c r="A8" s="4" t="inlineStr">
        <is>
          <t>needs_terrain</t>
        </is>
      </c>
      <c r="B8" s="4" t="inlineStr">
        <is>
          <t>경사 15도 초과</t>
        </is>
      </c>
      <c r="C8" s="4" t="inlineStr">
        <is>
          <t>slope_over_15</t>
        </is>
      </c>
      <c r="D8" s="4" t="inlineStr">
        <is>
          <t>지방자치단체</t>
        </is>
      </c>
      <c r="E8" s="4" t="inlineStr">
        <is>
          <t>각 지자체 조례</t>
        </is>
      </c>
      <c r="F8" s="4" t="inlineStr">
        <is>
          <t>이격거리·기술기준</t>
        </is>
      </c>
      <c r="G8" s="4" t="inlineStr">
        <is>
          <t>조례 개정</t>
        </is>
      </c>
      <c r="H8" s="4" t="inlineStr">
        <is>
          <t>https://www.elis.go.kr</t>
        </is>
      </c>
    </row>
    <row r="9">
      <c r="A9" s="4" t="inlineStr">
        <is>
          <t>needs_landuse</t>
        </is>
      </c>
      <c r="B9" s="4" t="inlineStr">
        <is>
          <t>토지이용규제</t>
        </is>
      </c>
      <c r="C9" s="4" t="inlineStr">
        <is>
          <t>UB301</t>
        </is>
      </c>
      <c r="D9" s="4" t="inlineStr">
        <is>
          <t>국토교통부·지자체</t>
        </is>
      </c>
      <c r="E9" s="4" t="inlineStr">
        <is>
          <t>국토계획법</t>
        </is>
      </c>
      <c r="F9" s="4" t="inlineStr">
        <is>
          <t>지구단위계획</t>
        </is>
      </c>
      <c r="G9" s="4" t="inlineStr">
        <is>
          <t>지구계획 변경</t>
        </is>
      </c>
      <c r="H9" s="4" t="inlineStr">
        <is>
          <t>https://www.law.go.kr/법령/국토의계획및이용에관한법률</t>
        </is>
      </c>
    </row>
    <row r="10">
      <c r="A10" s="4" t="inlineStr">
        <is>
          <t>needs_military</t>
        </is>
      </c>
      <c r="B10" s="4" t="inlineStr">
        <is>
          <t>군사 완충구역</t>
        </is>
      </c>
      <c r="C10" s="4" t="inlineStr">
        <is>
          <t>UQ162+UQ128+DMZ</t>
        </is>
      </c>
      <c r="D10" s="4" t="inlineStr">
        <is>
          <t>국방부</t>
        </is>
      </c>
      <c r="E10" s="4" t="inlineStr">
        <is>
          <t>군사기지법</t>
        </is>
      </c>
      <c r="F10" s="4" t="inlineStr">
        <is>
          <t>제5조, 제8조</t>
        </is>
      </c>
      <c r="G10" s="4" t="inlineStr">
        <is>
          <t>국방부 협의</t>
        </is>
      </c>
      <c r="H10" s="4" t="inlineStr">
        <is>
          <t>https://www.law.go.kr/법령/군사기지및군사시설보호법</t>
        </is>
      </c>
    </row>
    <row r="11">
      <c r="A11" s="4" t="inlineStr">
        <is>
          <t>needs_eco</t>
        </is>
      </c>
      <c r="B11" s="4" t="inlineStr">
        <is>
          <t>자연환경보전지역</t>
        </is>
      </c>
      <c r="C11" s="4" t="inlineStr">
        <is>
          <t>UO301</t>
        </is>
      </c>
      <c r="D11" s="4" t="inlineStr">
        <is>
          <t>환경부</t>
        </is>
      </c>
      <c r="E11" s="4" t="inlineStr">
        <is>
          <t>자연환경보전법</t>
        </is>
      </c>
      <c r="F11" s="4" t="inlineStr">
        <is>
          <t>제18조</t>
        </is>
      </c>
      <c r="G11" s="4" t="inlineStr">
        <is>
          <t>환경부 협의</t>
        </is>
      </c>
      <c r="H11" s="4" t="inlineStr">
        <is>
          <t>https://www.law.go.kr/법령/자연환경보전법</t>
        </is>
      </c>
    </row>
    <row r="12">
      <c r="A12" s="4" t="inlineStr">
        <is>
          <t>needs_park</t>
        </is>
      </c>
      <c r="B12" s="4" t="inlineStr">
        <is>
          <t>자연공원</t>
        </is>
      </c>
      <c r="C12" s="4" t="inlineStr">
        <is>
          <t>WGISNPGUG/DO/GUN</t>
        </is>
      </c>
      <c r="D12" s="4" t="inlineStr">
        <is>
          <t>환경부·공원공단·지자체</t>
        </is>
      </c>
      <c r="E12" s="4" t="inlineStr">
        <is>
          <t>자연공원법</t>
        </is>
      </c>
      <c r="F12" s="4" t="inlineStr">
        <is>
          <t>제18조</t>
        </is>
      </c>
      <c r="G12" s="4" t="inlineStr">
        <is>
          <t>국립공원공단/지자체 협의</t>
        </is>
      </c>
      <c r="H12" s="4" t="inlineStr">
        <is>
          <t>https://www.law.go.kr/법령/자연공원법</t>
        </is>
      </c>
    </row>
    <row r="13">
      <c r="A13" s="4" t="inlineStr">
        <is>
          <t>needs_forest</t>
        </is>
      </c>
      <c r="B13" s="4" t="inlineStr">
        <is>
          <t>보안림</t>
        </is>
      </c>
      <c r="C13" s="4" t="inlineStr">
        <is>
          <t>UQ114</t>
        </is>
      </c>
      <c r="D13" s="4" t="inlineStr">
        <is>
          <t>산림청</t>
        </is>
      </c>
      <c r="E13" s="4" t="inlineStr">
        <is>
          <t>산림보호법</t>
        </is>
      </c>
      <c r="F13" s="4" t="inlineStr">
        <is>
          <t>보안림 행위 제한</t>
        </is>
      </c>
      <c r="G13" s="4" t="inlineStr">
        <is>
          <t>산림청 협의</t>
        </is>
      </c>
      <c r="H13" s="4" t="inlineStr">
        <is>
          <t>https://www.law.go.kr/법령/산림보호법</t>
        </is>
      </c>
    </row>
    <row r="14">
      <c r="A14" s="4" t="inlineStr">
        <is>
          <t>needs_baekdu</t>
        </is>
      </c>
      <c r="B14" s="4" t="inlineStr">
        <is>
          <t>백두대간</t>
        </is>
      </c>
      <c r="C14" s="4" t="inlineStr">
        <is>
          <t>UF901</t>
        </is>
      </c>
      <c r="D14" s="4" t="inlineStr">
        <is>
          <t>산림청</t>
        </is>
      </c>
      <c r="E14" s="4" t="inlineStr">
        <is>
          <t>백두대간보호법</t>
        </is>
      </c>
      <c r="F14" s="4" t="inlineStr">
        <is>
          <t>제7조</t>
        </is>
      </c>
      <c r="G14" s="4" t="inlineStr">
        <is>
          <t>산림청 협의 (완충구역만)</t>
        </is>
      </c>
      <c r="H14" s="4" t="inlineStr">
        <is>
          <t>https://www.law.go.kr/법령/백두대간보호에관한법률</t>
        </is>
      </c>
    </row>
    <row r="15">
      <c r="A15" s="4" t="inlineStr">
        <is>
          <t>needs_mining</t>
        </is>
      </c>
      <c r="B15" s="4" t="inlineStr">
        <is>
          <t>광업권</t>
        </is>
      </c>
      <c r="C15" s="4" t="inlineStr">
        <is>
          <t>UM221</t>
        </is>
      </c>
      <c r="D15" s="4" t="inlineStr">
        <is>
          <t>산업통상자원부</t>
        </is>
      </c>
      <c r="E15" s="4" t="inlineStr">
        <is>
          <t>광업법</t>
        </is>
      </c>
      <c r="F15" s="4" t="inlineStr">
        <is>
          <t>광업권자 협의</t>
        </is>
      </c>
      <c r="G15" s="4" t="inlineStr">
        <is>
          <t>산업부 협의</t>
        </is>
      </c>
      <c r="H15" s="4" t="inlineStr">
        <is>
          <t>https://www.law.go.kr/법령/광업법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M11"/>
  <sheetViews>
    <sheetView topLeftCell="A1" zoomScaleNormal="100" zoomScaleSheetLayoutView="75" workbookViewId="0">
      <selection activeCell="J20" activeCellId="0" sqref="J20:J20"/>
    </sheetView>
  </sheetViews>
  <sheetFormatPr baseColWidth="8" defaultColWidth="9.00390625" defaultRowHeight="16.4"/>
  <sheetData>
    <row r="1">
      <c r="A1" s="4" t="inlineStr">
        <is>
          <t>산단명</t>
        </is>
      </c>
      <c r="B1" s="4" t="inlineStr">
        <is>
          <t>시도</t>
        </is>
      </c>
      <c r="C1" s="4" t="inlineStr">
        <is>
          <t>시군</t>
        </is>
      </c>
      <c r="D1" s="4" t="inlineStr">
        <is>
          <t>S0</t>
        </is>
      </c>
      <c r="E1" s="4" t="inlineStr">
        <is>
          <t>S1a</t>
        </is>
      </c>
      <c r="F1" s="4" t="inlineStr">
        <is>
          <t>S1b</t>
        </is>
      </c>
      <c r="G1" s="4" t="inlineStr">
        <is>
          <t>S2</t>
        </is>
      </c>
      <c r="H1" s="4" t="inlineStr">
        <is>
          <t>S3</t>
        </is>
      </c>
      <c r="I1" s="4" t="inlineStr">
        <is>
          <t>S4</t>
        </is>
      </c>
      <c r="J1" s="4" t="inlineStr">
        <is>
          <t>S5</t>
        </is>
      </c>
      <c r="K1" s="4" t="inlineStr">
        <is>
          <t>S6</t>
        </is>
      </c>
      <c r="L1" s="4" t="inlineStr">
        <is>
          <t>S7</t>
        </is>
      </c>
      <c r="M1" s="4" t="inlineStr">
        <is>
          <t>S_MAX</t>
        </is>
      </c>
    </row>
    <row r="2">
      <c r="A2" s="4" t="inlineStr">
        <is>
          <t>어연·한산일반산업단지</t>
        </is>
      </c>
      <c r="B2" s="4" t="inlineStr">
        <is>
          <t>경기도</t>
        </is>
      </c>
      <c r="C2" s="4" t="inlineStr">
        <is>
          <t>평택</t>
        </is>
      </c>
      <c r="D2" s="4" t="n">
        <v>2160</v>
      </c>
      <c r="E2" s="4" t="n">
        <v>2160</v>
      </c>
      <c r="F2" s="4" t="n">
        <v>4540.1</v>
      </c>
      <c r="G2" s="4" t="n">
        <v>4629.3</v>
      </c>
      <c r="H2" s="4" t="n">
        <v>6746.7</v>
      </c>
      <c r="I2" s="4" t="n">
        <v>6746.7</v>
      </c>
      <c r="J2" s="4" t="n">
        <v>6748.1</v>
      </c>
      <c r="K2" s="4" t="n">
        <v>6886.8</v>
      </c>
      <c r="L2" s="4" t="n">
        <v>6946.7</v>
      </c>
      <c r="M2" s="4" t="n">
        <v>6946.7</v>
      </c>
    </row>
    <row r="3">
      <c r="A3" s="4" t="inlineStr">
        <is>
          <t>향남제약일반산업단지</t>
        </is>
      </c>
      <c r="B3" s="4" t="inlineStr">
        <is>
          <t>경기도</t>
        </is>
      </c>
      <c r="C3" s="4" t="inlineStr">
        <is>
          <t>화성</t>
        </is>
      </c>
      <c r="D3" s="4" t="n">
        <v>2229.3</v>
      </c>
      <c r="E3" s="4" t="n">
        <v>2229.3</v>
      </c>
      <c r="F3" s="4" t="n">
        <v>4240</v>
      </c>
      <c r="G3" s="4" t="n">
        <v>4300.1</v>
      </c>
      <c r="H3" s="4" t="n">
        <v>6253.3</v>
      </c>
      <c r="I3" s="4" t="n">
        <v>6253.3</v>
      </c>
      <c r="J3" s="4" t="n">
        <v>6256</v>
      </c>
      <c r="K3" s="4" t="n">
        <v>6360</v>
      </c>
      <c r="L3" s="4" t="n">
        <v>6387.9</v>
      </c>
      <c r="M3" s="4" t="n">
        <v>6387.9</v>
      </c>
    </row>
    <row r="4">
      <c r="A4" s="4" t="inlineStr">
        <is>
          <t>홍성일반산업단지</t>
        </is>
      </c>
      <c r="B4" s="4" t="inlineStr">
        <is>
          <t>충청남도</t>
        </is>
      </c>
      <c r="C4" s="4" t="inlineStr">
        <is>
          <t>홍성</t>
        </is>
      </c>
      <c r="D4" s="4" t="n">
        <v>1328</v>
      </c>
      <c r="E4" s="4" t="n">
        <v>1328</v>
      </c>
      <c r="F4" s="4" t="n">
        <v>5441.4</v>
      </c>
      <c r="G4" s="4" t="n">
        <v>5478.8</v>
      </c>
      <c r="H4" s="4" t="n">
        <v>5728</v>
      </c>
      <c r="I4" s="4" t="n">
        <v>5728</v>
      </c>
      <c r="J4" s="4" t="n">
        <v>5736</v>
      </c>
      <c r="K4" s="4" t="n">
        <v>5741.3</v>
      </c>
      <c r="L4" s="4" t="n">
        <v>5789.3</v>
      </c>
      <c r="M4" s="4" t="n">
        <v>5789.3</v>
      </c>
    </row>
    <row r="5">
      <c r="A5" s="4" t="inlineStr">
        <is>
          <t>송탄일반산업단지</t>
        </is>
      </c>
      <c r="B5" s="4" t="inlineStr">
        <is>
          <t>경기도</t>
        </is>
      </c>
      <c r="C5" s="4" t="inlineStr">
        <is>
          <t>평택</t>
        </is>
      </c>
      <c r="D5" s="4" t="n">
        <v>1621.3</v>
      </c>
      <c r="E5" s="4" t="n">
        <v>1621.3</v>
      </c>
      <c r="F5" s="4" t="n">
        <v>3921.4</v>
      </c>
      <c r="G5" s="4" t="n">
        <v>4000</v>
      </c>
      <c r="H5" s="4" t="n">
        <v>5522.7</v>
      </c>
      <c r="I5" s="4" t="n">
        <v>5522.7</v>
      </c>
      <c r="J5" s="4" t="n">
        <v>5522.7</v>
      </c>
      <c r="K5" s="4" t="n">
        <v>5670.8</v>
      </c>
      <c r="L5" s="4" t="n">
        <v>5749.3</v>
      </c>
      <c r="M5" s="4" t="n">
        <v>5749.3</v>
      </c>
    </row>
    <row r="6">
      <c r="A6" s="4" t="inlineStr">
        <is>
          <t>당진일반산업단지</t>
        </is>
      </c>
      <c r="B6" s="4" t="inlineStr">
        <is>
          <t>충청남도</t>
        </is>
      </c>
      <c r="C6" s="4" t="inlineStr">
        <is>
          <t>당진</t>
        </is>
      </c>
      <c r="D6" s="4" t="n">
        <v>2386.7</v>
      </c>
      <c r="E6" s="4" t="n">
        <v>2386.7</v>
      </c>
      <c r="F6" s="4" t="n">
        <v>5052.1</v>
      </c>
      <c r="G6" s="4" t="n">
        <v>5097.2</v>
      </c>
      <c r="H6" s="4" t="n">
        <v>5410.7</v>
      </c>
      <c r="I6" s="4" t="n">
        <v>5410.7</v>
      </c>
      <c r="J6" s="4" t="n">
        <v>5413.3</v>
      </c>
      <c r="K6" s="4" t="n">
        <v>5430.8</v>
      </c>
      <c r="L6" s="4" t="n">
        <v>5437.3</v>
      </c>
      <c r="M6" s="4" t="n">
        <v>5437.3</v>
      </c>
    </row>
    <row r="7">
      <c r="A7" s="4" t="inlineStr">
        <is>
          <t>포승(BIX)국가산업단지</t>
        </is>
      </c>
      <c r="B7" s="4" t="inlineStr">
        <is>
          <t>경기도</t>
        </is>
      </c>
      <c r="C7" s="4" t="inlineStr">
        <is>
          <t>평택</t>
        </is>
      </c>
      <c r="D7" s="4" t="n">
        <v>1261.3</v>
      </c>
      <c r="E7" s="4" t="n">
        <v>1261.3</v>
      </c>
      <c r="F7" s="4" t="n">
        <v>2777.2</v>
      </c>
      <c r="G7" s="4" t="n">
        <v>2802.7</v>
      </c>
      <c r="H7" s="4" t="n">
        <v>4830.6</v>
      </c>
      <c r="I7" s="4" t="n">
        <v>4830.6</v>
      </c>
      <c r="J7" s="4" t="n">
        <v>4830.6</v>
      </c>
      <c r="K7" s="4" t="n">
        <v>4961.4</v>
      </c>
      <c r="L7" s="4" t="n">
        <v>4986.7</v>
      </c>
      <c r="M7" s="4" t="n">
        <v>4986.7</v>
      </c>
    </row>
    <row r="8">
      <c r="A8" s="4" t="inlineStr">
        <is>
          <t>부발(SK하이닉스M14/M15/M16)</t>
        </is>
      </c>
      <c r="B8" s="4" t="inlineStr">
        <is>
          <t>경기도</t>
        </is>
      </c>
      <c r="C8" s="4" t="inlineStr">
        <is>
          <t>이천</t>
        </is>
      </c>
      <c r="D8" s="4" t="n">
        <v>2138.7</v>
      </c>
      <c r="E8" s="4" t="n">
        <v>2138.7</v>
      </c>
      <c r="F8" s="4" t="n">
        <v>3379.9</v>
      </c>
      <c r="G8" s="4" t="n">
        <v>3608</v>
      </c>
      <c r="H8" s="4" t="n">
        <v>4813.3</v>
      </c>
      <c r="I8" s="4" t="n">
        <v>4813.3</v>
      </c>
      <c r="J8" s="4" t="n">
        <v>4813.3</v>
      </c>
      <c r="K8" s="4" t="n">
        <v>4944</v>
      </c>
      <c r="L8" s="4" t="n">
        <v>4963.9</v>
      </c>
      <c r="M8" s="4" t="n">
        <v>4963.9</v>
      </c>
    </row>
    <row r="9">
      <c r="A9" s="4" t="inlineStr">
        <is>
          <t>포승2일반산업단지</t>
        </is>
      </c>
      <c r="B9" s="4" t="inlineStr">
        <is>
          <t>경기도</t>
        </is>
      </c>
      <c r="C9" s="4" t="inlineStr">
        <is>
          <t>평택</t>
        </is>
      </c>
      <c r="D9" s="4" t="n">
        <v>1241.2</v>
      </c>
      <c r="E9" s="4" t="n">
        <v>1241.2</v>
      </c>
      <c r="F9" s="4" t="n">
        <v>2742.8</v>
      </c>
      <c r="G9" s="4" t="n">
        <v>2768</v>
      </c>
      <c r="H9" s="4" t="n">
        <v>4808</v>
      </c>
      <c r="I9" s="4" t="n">
        <v>4808</v>
      </c>
      <c r="J9" s="4" t="n">
        <v>4808</v>
      </c>
      <c r="K9" s="4" t="n">
        <v>4938.7</v>
      </c>
      <c r="L9" s="4" t="n">
        <v>4963.9</v>
      </c>
      <c r="M9" s="4" t="n">
        <v>4963.9</v>
      </c>
    </row>
    <row r="10">
      <c r="A10" s="4" t="inlineStr">
        <is>
          <t>석문국가산업단지</t>
        </is>
      </c>
      <c r="B10" s="4" t="inlineStr">
        <is>
          <t>충청남도</t>
        </is>
      </c>
      <c r="C10" s="4" t="inlineStr">
        <is>
          <t>당진</t>
        </is>
      </c>
      <c r="D10" s="4" t="n">
        <v>792</v>
      </c>
      <c r="E10" s="4" t="n">
        <v>792</v>
      </c>
      <c r="F10" s="4" t="n">
        <v>4309.3</v>
      </c>
      <c r="G10" s="4" t="n">
        <v>4323.9</v>
      </c>
      <c r="H10" s="4" t="n">
        <v>4346.7</v>
      </c>
      <c r="I10" s="4" t="n">
        <v>4346.7</v>
      </c>
      <c r="J10" s="4" t="n">
        <v>4346.7</v>
      </c>
      <c r="K10" s="4" t="n">
        <v>4353.4</v>
      </c>
      <c r="L10" s="4" t="n">
        <v>4357.3</v>
      </c>
      <c r="M10" s="4" t="n">
        <v>4357.3</v>
      </c>
    </row>
    <row r="11">
      <c r="A11" s="4" t="inlineStr">
        <is>
          <t>장안3·4일반산업단지</t>
        </is>
      </c>
      <c r="B11" s="4" t="inlineStr">
        <is>
          <t>경기도</t>
        </is>
      </c>
      <c r="C11" s="4" t="inlineStr">
        <is>
          <t>화성</t>
        </is>
      </c>
      <c r="D11" s="4" t="n">
        <v>1528</v>
      </c>
      <c r="E11" s="4" t="n">
        <v>1528</v>
      </c>
      <c r="F11" s="4" t="n">
        <v>2910.6</v>
      </c>
      <c r="G11" s="4" t="n">
        <v>2937.2</v>
      </c>
      <c r="H11" s="4" t="n">
        <v>4170.7</v>
      </c>
      <c r="I11" s="4" t="n">
        <v>4170.7</v>
      </c>
      <c r="J11" s="4" t="n">
        <v>4170.7</v>
      </c>
      <c r="K11" s="4" t="n">
        <v>4209.4</v>
      </c>
      <c r="L11" s="4" t="n">
        <v>4230.8</v>
      </c>
      <c r="M11" s="4" t="n">
        <v>4230.8</v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D10"/>
  <sheetViews>
    <sheetView topLeftCell="A1" zoomScaleNormal="100" zoomScaleSheetLayoutView="75" workbookViewId="0">
      <selection activeCell="A1" activeCellId="0" sqref="A1:A1"/>
    </sheetView>
  </sheetViews>
  <sheetFormatPr baseColWidth="8" defaultColWidth="9.00390625" defaultRowHeight="16.4"/>
  <sheetData>
    <row r="1">
      <c r="A1" s="4" t="inlineStr">
        <is>
          <t>단계</t>
        </is>
      </c>
      <c r="B1" s="4" t="inlineStr">
        <is>
          <t>효과_MW</t>
        </is>
      </c>
      <c r="C1" s="4" t="inlineStr">
        <is>
          <t>협의_주체</t>
        </is>
      </c>
      <c r="D1" s="4" t="inlineStr">
        <is>
          <t>비고</t>
        </is>
      </c>
    </row>
    <row r="2">
      <c r="A2" s="4" t="inlineStr">
        <is>
          <t>S0-&gt;S1a</t>
        </is>
      </c>
      <c r="B2" s="4" t="n">
        <v>0</v>
      </c>
      <c r="C2" s="4" t="inlineStr">
        <is>
          <t>농식품부(진흥기타)</t>
        </is>
      </c>
      <c r="D2" s="4" t="inlineStr">
        <is>
          <t>미미</t>
        </is>
      </c>
    </row>
    <row r="3">
      <c r="A3" s="4" t="inlineStr">
        <is>
          <t>S1a-&gt;S1b</t>
        </is>
      </c>
      <c r="B3" s="4" t="n">
        <v>984</v>
      </c>
      <c r="C3" s="4" t="inlineStr">
        <is>
          <t>농식품부(보호구역) ★</t>
        </is>
      </c>
      <c r="D3" s="4" t="inlineStr">
        <is>
          <t>행정 협의</t>
        </is>
      </c>
    </row>
    <row r="4">
      <c r="A4" s="4" t="inlineStr">
        <is>
          <t>S1b-&gt;S2</t>
        </is>
      </c>
      <c r="B4" s="4" t="n">
        <v>32</v>
      </c>
      <c r="C4" s="4" t="inlineStr">
        <is>
          <t>농식품부(시설)</t>
        </is>
      </c>
      <c r="D4" s="4" t="inlineStr">
        <is>
          <t>작음</t>
        </is>
      </c>
    </row>
    <row r="5">
      <c r="A5" s="4" t="inlineStr">
        <is>
          <t>S2-&gt;S3</t>
        </is>
      </c>
      <c r="B5" s="4" t="n">
        <v>542.01</v>
      </c>
      <c r="C5" s="4" t="inlineStr">
        <is>
          <t>농식품부(진흥구역) ★★</t>
        </is>
      </c>
      <c r="D5" s="4" t="inlineStr">
        <is>
          <t>법 개정 핵심</t>
        </is>
      </c>
    </row>
    <row r="6">
      <c r="A6" s="4" t="inlineStr">
        <is>
          <t>S3-&gt;S4</t>
        </is>
      </c>
      <c r="B6" s="4" t="n">
        <v>0</v>
      </c>
      <c r="C6" s="4" t="inlineStr">
        <is>
          <t>국토부(잡종지)</t>
        </is>
      </c>
      <c r="D6" s="4" t="inlineStr">
        <is>
          <t>미미</t>
        </is>
      </c>
    </row>
    <row r="7">
      <c r="A7" s="4" t="inlineStr">
        <is>
          <t>S4-&gt;S5</t>
        </is>
      </c>
      <c r="B7" s="4" t="n">
        <v>1.99</v>
      </c>
      <c r="C7" s="4" t="inlineStr">
        <is>
          <t>지자체(경사)</t>
        </is>
      </c>
      <c r="D7" s="4" t="inlineStr">
        <is>
          <t>미미</t>
        </is>
      </c>
    </row>
    <row r="8">
      <c r="A8" s="4" t="inlineStr">
        <is>
          <t>S5-&gt;S6</t>
        </is>
      </c>
      <c r="B8" s="4" t="n">
        <v>169</v>
      </c>
      <c r="C8" s="4" t="inlineStr">
        <is>
          <t>국방부(군사) ★</t>
        </is>
      </c>
      <c r="D8" s="4" t="inlineStr">
        <is>
          <t>파주·김포·평택</t>
        </is>
      </c>
    </row>
    <row r="9">
      <c r="A9" s="4" t="inlineStr">
        <is>
          <t>S6-&gt;S7</t>
        </is>
      </c>
      <c r="B9" s="4" t="n">
        <v>19</v>
      </c>
      <c r="C9" s="4" t="inlineStr">
        <is>
          <t>환경부·산림청</t>
        </is>
      </c>
      <c r="D9" s="4" t="inlineStr">
        <is>
          <t>서산 가야산</t>
        </is>
      </c>
    </row>
    <row r="10">
      <c r="A10" s="4" t="inlineStr">
        <is>
          <t>S7-&gt;S_MAX</t>
        </is>
      </c>
      <c r="B10" s="4" t="n">
        <v>0</v>
      </c>
      <c r="C10" s="4" t="inlineStr">
        <is>
          <t>산업부·산림청</t>
        </is>
      </c>
      <c r="D10" s="4" t="inlineStr">
        <is>
          <t>미미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F17"/>
  <sheetViews>
    <sheetView topLeftCell="A1" zoomScaleNormal="100" zoomScaleSheetLayoutView="75" workbookViewId="0">
      <selection activeCell="K13" activeCellId="0" sqref="K13:K13"/>
    </sheetView>
  </sheetViews>
  <sheetFormatPr baseColWidth="8" defaultColWidth="9.00390625" defaultRowHeight="16.4"/>
  <cols>
    <col width="36.57421875" bestFit="1" customWidth="1" style="4" min="1" max="1"/>
  </cols>
  <sheetData>
    <row r="1">
      <c r="A1" s="4" t="inlineStr">
        <is>
          <t>한계</t>
        </is>
      </c>
      <c r="B1" s="4" t="inlineStr">
        <is>
          <t>내용</t>
        </is>
      </c>
      <c r="C1" s="4" t="inlineStr">
        <is>
          <t>영향</t>
        </is>
      </c>
      <c r="D1" s="4" t="inlineStr">
        <is>
          <t>대응</t>
        </is>
      </c>
      <c r="E1" s="4" t="inlineStr">
        <is>
          <t>한계_항목</t>
        </is>
      </c>
      <c r="F1" s="4" t="inlineStr">
        <is>
          <t>분석_영향</t>
        </is>
      </c>
    </row>
    <row r="2">
      <c r="A2" s="4" t="inlineStr">
        <is>
          <t>시설재배지 시점 차이</t>
        </is>
      </c>
      <c r="B2" s="4" t="inlineStr">
        <is>
          <t>팜맵-위성 시점 어긋남</t>
        </is>
      </c>
      <c r="C2" s="4" t="inlineStr">
        <is>
          <t>+-1%</t>
        </is>
      </c>
      <c r="D2" s="4" t="inlineStr">
        <is>
          <t>현장 조사</t>
        </is>
      </c>
    </row>
    <row r="3">
      <c r="A3" s="4" t="inlineStr">
        <is>
          <t>생태1등급 미반영</t>
        </is>
      </c>
      <c r="B3" s="4" t="inlineStr">
        <is>
          <t>D_Regulation 부재</t>
        </is>
      </c>
      <c r="C3" s="4" t="inlineStr">
        <is>
          <t>미미</t>
        </is>
      </c>
      <c r="D3" s="4" t="inlineStr">
        <is>
          <t>EGIS 수집</t>
        </is>
      </c>
    </row>
    <row r="4">
      <c r="A4" s="4" t="inlineStr">
        <is>
          <t>상수원보호 미반영</t>
        </is>
      </c>
      <c r="B4" s="4" t="inlineStr">
        <is>
          <t>D_Regulation 부재</t>
        </is>
      </c>
      <c r="C4" s="4" t="inlineStr">
        <is>
          <t>수도권 일부</t>
        </is>
      </c>
      <c r="D4" s="4" t="inlineStr">
        <is>
          <t>환경부 수집</t>
        </is>
      </c>
    </row>
    <row r="5">
      <c r="A5" s="4" t="inlineStr">
        <is>
          <t>문화재 미반영</t>
        </is>
      </c>
      <c r="B5" s="4" t="inlineStr">
        <is>
          <t>UF901이 백두대간 라벨 오류</t>
        </is>
      </c>
      <c r="C5" s="4" t="inlineStr">
        <is>
          <t>미미</t>
        </is>
      </c>
      <c r="D5" s="4" t="inlineStr">
        <is>
          <t>문화재청 수집</t>
        </is>
      </c>
    </row>
    <row r="6">
      <c r="A6" s="4" t="inlineStr">
        <is>
          <t>광역 분석 미수행</t>
        </is>
      </c>
      <c r="B6" s="4" t="inlineStr">
        <is>
          <t>반경 10km만</t>
        </is>
      </c>
      <c r="C6" s="4" t="inlineStr">
        <is>
          <t>산단 외 미포함</t>
        </is>
      </c>
      <c r="D6" s="4" t="inlineStr">
        <is>
          <t>도 단위 후속</t>
        </is>
      </c>
    </row>
    <row r="7">
      <c r="A7" s="4" t="inlineStr">
        <is>
          <t>전력망 미고려</t>
        </is>
      </c>
      <c r="B7" s="4" t="inlineStr">
        <is>
          <t>송전 가능성 미검토</t>
        </is>
      </c>
      <c r="C7" s="4" t="inlineStr">
        <is>
          <t>이론값만</t>
        </is>
      </c>
      <c r="D7" s="4" t="inlineStr">
        <is>
          <t>한전 협의</t>
        </is>
      </c>
    </row>
    <row r="8">
      <c r="A8" s="4" t="inlineStr">
        <is>
          <t>시군 매핑 보정(v6.2 해결)</t>
        </is>
      </c>
      <c r="B8" s="4" t="inlineStr">
        <is>
          <t>SGG_CD 비표준, 통합 풀로 해결</t>
        </is>
      </c>
      <c r="C8" s="4" t="inlineStr">
        <is>
          <t>v6.2부터 해결</t>
        </is>
      </c>
      <c r="D8" s="4" t="inlineStr">
        <is>
          <t>국토지리정보원 검증</t>
        </is>
      </c>
    </row>
    <row r="9">
      <c r="A9" s="4" t="inlineStr">
        <is>
          <t>Land exclusion 통합값</t>
        </is>
      </c>
      <c r="B9" s="4" t="inlineStr">
        <is>
          <t>layer 추적 불가, D_Regulation 보강</t>
        </is>
      </c>
      <c r="C9" s="4" t="inlineStr">
        <is>
          <t>토글은 D_Reg 기반 정확</t>
        </is>
      </c>
      <c r="D9" s="4" t="inlineStr">
        <is>
          <t>exclusion_any 사용</t>
        </is>
      </c>
    </row>
    <row r="10">
      <c r="A10" s="4" t="inlineStr">
        <is>
          <t>경사도 매칭율(대부분 해소)</t>
        </is>
      </c>
      <c r="B10" s="4" t="inlineStr">
        <is>
          <t>DEM zonal 재계산 후 농촌 95-98%, 도시 89-90%</t>
        </is>
      </c>
      <c r="C10" s="4" t="inlineStr">
        <is>
          <t>점수에 미미(+3/28점)</t>
        </is>
      </c>
      <c r="D10" s="4" t="inlineStr">
        <is>
          <t>5m DEM 활용 시 100%</t>
        </is>
      </c>
    </row>
    <row r="11">
      <c r="A11" s="4" t="inlineStr">
        <is>
          <t>전력소비량 추정 방법</t>
        </is>
      </c>
      <c r="B11" s="4" t="inlineStr">
        <is>
          <t>Peak_Demand_MW x 8,760 x 0.6(부하율 60%)으로 자체 산출. 한전/산단공단 실측치 확보 시 정확도 향상 가능</t>
        </is>
      </c>
      <c r="C11" s="4" t="inlineStr">
        <is>
          <t>부하율 60% 가정 합리적이나 산단별 실제 부하율 차이로 +-20% 변동 가능</t>
        </is>
      </c>
      <c r="D11" s="4" t="inlineStr">
        <is>
          <t>한전/KICOX 실측치 확보 후 보정</t>
        </is>
      </c>
    </row>
    <row r="12">
      <c r="A12" s="4" t="inlineStr">
        <is>
          <t>영농형 실측 이용률 vs 일반 태양광</t>
        </is>
      </c>
      <c r="B12" s="4" t="inlineStr">
        <is>
          <t>본 분석 15%(한전 공식). 영농형 실측 14.4~14.5% (가로형/세로형). 약 0.5%p 차이</t>
        </is>
      </c>
      <c r="C12" s="4" t="inlineStr">
        <is>
          <t>발전량 약 3.3% 과대추정 가능. 자급률 1,165%-&gt;약 1,127% 보정 가능</t>
        </is>
      </c>
      <c r="D12" s="4" t="inlineStr">
        <is>
          <t>영농형 14.4% 적용 시 보수적. 수직양면패널 시 일반 수준</t>
        </is>
      </c>
    </row>
    <row r="13">
      <c r="A13" s="4" t="inlineStr">
        <is>
          <t>산단별 독립 잠재량 (인접 산단 농지 중복)</t>
        </is>
      </c>
      <c r="B13" s="4" t="inlineStr">
        <is>
          <t>v6.2는 산단 독립 분석. 인접 산단 10km 버퍼 겹침으로 같은 농지가 복수 산단 잠재량에 동시 계산. 평택 8개 산단 합 297%, 화성 7개 142%</t>
        </is>
      </c>
      <c r="C13" s="4" t="inlineStr">
        <is>
          <t>산단 개별 잠재량은 정확. 시군 합산 시 과대. 동시 RE100은 우선순위 결정 필요</t>
        </is>
      </c>
      <c r="D13" s="4" t="inlineStr">
        <is>
          <t>보고서에 (1)산단별 독립 + (2)시군 광역(중복없음) 두 가지 모두 제시</t>
        </is>
      </c>
    </row>
    <row r="14">
      <c r="A14" s="4" t="inlineStr">
        <is>
          <t>산단별 독립 잠재량 (인접 산단 농지 중복)</t>
        </is>
      </c>
      <c r="B14" s="4" t="inlineStr">
        <is>
          <t>v6.2는 산단 독립 분석. 인접 산단 10km 버퍼 겹침으로 같은 농지가 복수 산단 잠재량에 동시 계산. 평택 8개 산단 합 297%, 화성 7개 142%</t>
        </is>
      </c>
      <c r="C14" s="4" t="inlineStr">
        <is>
          <t>산단 개별 잠재량은 정확. 시군 합산 시 과대. 동시 RE100은 우선순위 결정 필요</t>
        </is>
      </c>
      <c r="D14" s="4" t="inlineStr">
        <is>
          <t>보고서에 (1)산단별 독립 + (2)시군 광역(중복없음) 두 가지 모두 제시</t>
        </is>
      </c>
    </row>
    <row r="15">
      <c r="B15" s="4" t="inlineStr">
        <is>
          <t>본 분석은 14개 시군 통합 풀 사용. 시군 간 경계는 정상 처리됨. 단, 분석 외 시군(안성·태안·인천·부천 등) 농지 미포함. 포승BIX 진단 결과: 평택 lite.geojson에 화성 농지 39,794필지 포함 확인 — 데이터 정상.</t>
        </is>
      </c>
      <c r="D15" s="4" t="inlineStr">
        <is>
          <t>v6.3에서 분석 외 시군 마스터 추가 예정.</t>
        </is>
      </c>
      <c r="E15" s="4" t="inlineStr">
        <is>
          <t>시군 경계 외부 농지 누락</t>
        </is>
      </c>
      <c r="F15" s="4" t="inlineStr">
        <is>
          <t>분석 외 시군 접경 산단에서 보수적 추정. 실제 잠재량 더 클 수 있음.</t>
        </is>
      </c>
    </row>
    <row r="16">
      <c r="B16" s="4" t="inlineStr">
        <is>
          <t>본 분석은 14개 시군 통합 풀 사용. 시군 간 경계는 정상 처리됨. 단, 분석 외 시군(안성·태안·인천·부천 등) 농지 미포함. 포승BIX 진단 결과: 평택 lite.geojson에 화성 농지 39,794필지 포함 확인 — 데이터 정상.</t>
        </is>
      </c>
      <c r="D16" s="4" t="inlineStr">
        <is>
          <t>v6.3에서 분석 외 시군 마스터 추가 예정.</t>
        </is>
      </c>
      <c r="E16" s="4" t="inlineStr">
        <is>
          <t>시군 경계 외부 농지 누락</t>
        </is>
      </c>
      <c r="F16" s="4" t="inlineStr">
        <is>
          <t>분석 외 시군 접경 산단에서 보수적 추정. 실제 잠재량 더 클 수 있음.</t>
        </is>
      </c>
    </row>
    <row r="17">
      <c r="B17" s="4" t="inlineStr">
        <is>
          <t>생태자연도 1등급은 주로 산림·습지로 농지 마스터와 교집합 거의 없음. 기후에너지환경부 2025.08 통계 기준 14개 시군 평균 1등급 비율 ~7%이나 농지 중 1등급 비중은 시군 평균의 20% 이하로 추정.</t>
        </is>
      </c>
      <c r="D17" s="4" t="inlineStr">
        <is>
          <t>별도 GIS 분석 불필요. 한계 명시로 충분.</t>
        </is>
      </c>
      <c r="E17" s="4" t="inlineStr">
        <is>
          <t>생태자연도 1등급 미반영</t>
        </is>
      </c>
      <c r="F17" s="4" t="inlineStr">
        <is>
          <t>영향 미미. 농지 마스터(실경작지 기준)와 실질 교집합 없음.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1.xml><?xml version="1.0" encoding="utf-8"?>
<worksheet xmlns="http://schemas.openxmlformats.org/spreadsheetml/2006/main">
  <sheetPr codeName="Sheet10">
    <outlinePr summaryBelow="1" summaryRight="1"/>
    <pageSetUpPr/>
  </sheetPr>
  <dimension ref="A1:M40"/>
  <sheetViews>
    <sheetView topLeftCell="A1" zoomScaleNormal="100" zoomScaleSheetLayoutView="75" workbookViewId="0">
      <selection activeCell="A1" activeCellId="0" sqref="A1:A1"/>
    </sheetView>
  </sheetViews>
  <sheetFormatPr baseColWidth="8" defaultColWidth="9.00390625" defaultRowHeight="16.4"/>
  <sheetData>
    <row r="1">
      <c r="A1" s="4" t="inlineStr">
        <is>
          <t>산단명</t>
        </is>
      </c>
      <c r="B1" s="4" t="inlineStr">
        <is>
          <t>시도</t>
        </is>
      </c>
      <c r="C1" s="4" t="inlineStr">
        <is>
          <t>시군</t>
        </is>
      </c>
      <c r="D1" s="4" t="inlineStr">
        <is>
          <t>전력소비_GWh_연간</t>
        </is>
      </c>
      <c r="E1" s="4" t="inlineStr">
        <is>
          <t>S0_현행법_MW_10km</t>
        </is>
      </c>
      <c r="F1" s="4" t="inlineStr">
        <is>
          <t>S0_자급률_pct_10km</t>
        </is>
      </c>
      <c r="G1" s="4" t="inlineStr">
        <is>
          <t>S0_100%달성_반경_km</t>
        </is>
      </c>
      <c r="H1" s="4" t="inlineStr">
        <is>
          <t>S3_농업진흥구역해제_MW_10km</t>
        </is>
      </c>
      <c r="I1" s="4" t="inlineStr">
        <is>
          <t>S3_자급률_pct_10km</t>
        </is>
      </c>
      <c r="J1" s="4" t="inlineStr">
        <is>
          <t>S3_100%달성_반경_km</t>
        </is>
      </c>
      <c r="K1" s="4" t="inlineStr">
        <is>
          <t>S_MAX_MW_10km</t>
        </is>
      </c>
      <c r="L1" s="4" t="inlineStr">
        <is>
          <t>S_MAX_자급률_pct_10km</t>
        </is>
      </c>
      <c r="M1" s="4" t="inlineStr">
        <is>
          <t>비고</t>
        </is>
      </c>
    </row>
    <row r="2">
      <c r="A2" s="4" t="inlineStr">
        <is>
          <t>어연·한산일반산업단지</t>
        </is>
      </c>
      <c r="B2" s="4" t="inlineStr">
        <is>
          <t>경기도</t>
        </is>
      </c>
      <c r="C2" s="4" t="inlineStr">
        <is>
          <t>평택</t>
        </is>
      </c>
      <c r="D2" s="4" t="n">
        <v>278.6</v>
      </c>
      <c r="E2" s="4" t="n">
        <v>2160</v>
      </c>
      <c r="F2" s="4" t="n">
        <v>1018.9</v>
      </c>
      <c r="G2" s="4" t="n">
        <v>3.5</v>
      </c>
      <c r="H2" s="4" t="n">
        <v>6746.1</v>
      </c>
      <c r="I2" s="4" t="n">
        <v>3182.1</v>
      </c>
      <c r="J2" s="4" t="n">
        <v>2</v>
      </c>
      <c r="K2" s="4" t="n">
        <v>6946.7</v>
      </c>
      <c r="L2" s="4" t="n">
        <v>3276.69</v>
      </c>
    </row>
    <row r="3">
      <c r="A3" s="4" t="inlineStr">
        <is>
          <t>향남제약일반산업단지</t>
        </is>
      </c>
      <c r="B3" s="4" t="inlineStr">
        <is>
          <t>경기도</t>
        </is>
      </c>
      <c r="C3" s="4" t="inlineStr">
        <is>
          <t>화성</t>
        </is>
      </c>
      <c r="D3" s="4" t="n">
        <v>1051.2</v>
      </c>
      <c r="E3" s="4" t="n">
        <v>2230.01</v>
      </c>
      <c r="F3" s="4" t="n">
        <v>278.79</v>
      </c>
      <c r="G3" s="4" t="n">
        <v>6</v>
      </c>
      <c r="H3" s="4" t="n">
        <v>6253.1</v>
      </c>
      <c r="I3" s="4" t="n">
        <v>781.6</v>
      </c>
      <c r="J3" s="4" t="n">
        <v>4</v>
      </c>
      <c r="K3" s="4" t="n">
        <v>6387.4</v>
      </c>
      <c r="L3" s="4" t="n">
        <v>798.4</v>
      </c>
    </row>
    <row r="4">
      <c r="A4" s="4" t="inlineStr">
        <is>
          <t>홍성일반산업단지</t>
        </is>
      </c>
      <c r="B4" s="4" t="inlineStr">
        <is>
          <t>충청남도</t>
        </is>
      </c>
      <c r="C4" s="4" t="inlineStr">
        <is>
          <t>홍성</t>
        </is>
      </c>
      <c r="D4" s="4" t="n">
        <v>206</v>
      </c>
      <c r="E4" s="4" t="n">
        <v>1328.2</v>
      </c>
      <c r="F4" s="4" t="n">
        <v>847.11</v>
      </c>
      <c r="G4" s="4" t="n">
        <v>3</v>
      </c>
      <c r="H4" s="4" t="n">
        <v>5727.8</v>
      </c>
      <c r="I4" s="4" t="n">
        <v>3652.91</v>
      </c>
      <c r="J4" s="4" t="n">
        <v>2</v>
      </c>
      <c r="K4" s="4" t="n">
        <v>5789.6</v>
      </c>
      <c r="L4" s="4" t="n">
        <v>3692.41</v>
      </c>
    </row>
    <row r="5">
      <c r="A5" s="4" t="inlineStr">
        <is>
          <t>송탄일반산업단지</t>
        </is>
      </c>
      <c r="B5" s="4" t="inlineStr">
        <is>
          <t>경기도</t>
        </is>
      </c>
      <c r="C5" s="4" t="inlineStr">
        <is>
          <t>평택</t>
        </is>
      </c>
      <c r="D5" s="4" t="n">
        <v>268.11</v>
      </c>
      <c r="E5" s="4" t="n">
        <v>1621</v>
      </c>
      <c r="F5" s="4" t="n">
        <v>794.6</v>
      </c>
      <c r="G5" s="4" t="n">
        <v>5</v>
      </c>
      <c r="H5" s="4" t="n">
        <v>5522.31</v>
      </c>
      <c r="I5" s="4" t="n">
        <v>2707</v>
      </c>
      <c r="J5" s="4" t="n">
        <v>3</v>
      </c>
      <c r="K5" s="4" t="n">
        <v>5749</v>
      </c>
      <c r="L5" s="4" t="n">
        <v>2818.1</v>
      </c>
    </row>
    <row r="6">
      <c r="A6" s="4" t="inlineStr">
        <is>
          <t>당진일반산업단지</t>
        </is>
      </c>
      <c r="B6" s="4" t="inlineStr">
        <is>
          <t>충청남도</t>
        </is>
      </c>
      <c r="C6" s="4" t="inlineStr">
        <is>
          <t>당진</t>
        </is>
      </c>
      <c r="D6" s="4" t="n">
        <v>388.89</v>
      </c>
      <c r="E6" s="4" t="n">
        <v>2386.4</v>
      </c>
      <c r="F6" s="4" t="n">
        <v>806.2</v>
      </c>
      <c r="G6" s="4" t="n">
        <v>3.5</v>
      </c>
      <c r="H6" s="4" t="n">
        <v>5410.9</v>
      </c>
      <c r="I6" s="4" t="n">
        <v>1828</v>
      </c>
      <c r="J6" s="4" t="n">
        <v>3</v>
      </c>
      <c r="K6" s="4" t="n">
        <v>5437.1</v>
      </c>
      <c r="L6" s="4" t="n">
        <v>1836.91</v>
      </c>
    </row>
    <row r="7">
      <c r="A7" s="4" t="inlineStr">
        <is>
          <t>포승(BIX)국가산업단지</t>
        </is>
      </c>
      <c r="B7" s="4" t="inlineStr">
        <is>
          <t>경기도</t>
        </is>
      </c>
      <c r="C7" s="4" t="inlineStr">
        <is>
          <t>평택</t>
        </is>
      </c>
      <c r="D7" s="4" t="n">
        <v>3453.2</v>
      </c>
      <c r="E7" s="4" t="n">
        <v>1262.01</v>
      </c>
      <c r="F7" s="4" t="n">
        <v>48</v>
      </c>
      <c r="G7" s="4" t="inlineStr">
        <is>
          <t>10km 부족</t>
        </is>
      </c>
      <c r="H7" s="4" t="n">
        <v>4831.31</v>
      </c>
      <c r="I7" s="4" t="n">
        <v>183.8</v>
      </c>
      <c r="J7" s="4" t="n">
        <v>8</v>
      </c>
      <c r="K7" s="4" t="n">
        <v>4986.9</v>
      </c>
      <c r="L7" s="4" t="n">
        <v>189.8</v>
      </c>
      <c r="M7" s="4" t="inlineStr">
        <is>
          <t>10km 반경에서 최대 1682 MW (자급률 64 %)</t>
        </is>
      </c>
    </row>
    <row r="8">
      <c r="A8" s="4" t="inlineStr">
        <is>
          <t>부발(SK하이닉스M14/M15/M16)</t>
        </is>
      </c>
      <c r="B8" s="4" t="inlineStr">
        <is>
          <t>경기도</t>
        </is>
      </c>
      <c r="C8" s="4" t="inlineStr">
        <is>
          <t>이천</t>
        </is>
      </c>
      <c r="D8" s="4" t="n">
        <v>1829.09</v>
      </c>
      <c r="E8" s="4" t="n">
        <v>2138.1</v>
      </c>
      <c r="F8" s="4" t="n">
        <v>153.6</v>
      </c>
      <c r="G8" s="4" t="n">
        <v>7</v>
      </c>
      <c r="H8" s="4" t="n">
        <v>4812.91</v>
      </c>
      <c r="I8" s="4" t="n">
        <v>345.8</v>
      </c>
      <c r="J8" s="4" t="n">
        <v>5</v>
      </c>
      <c r="K8" s="4" t="n">
        <v>4963.5</v>
      </c>
      <c r="L8" s="4" t="n">
        <v>356.6</v>
      </c>
    </row>
    <row r="9">
      <c r="A9" s="4" t="inlineStr">
        <is>
          <t>포승2일반산업단지</t>
        </is>
      </c>
      <c r="B9" s="4" t="inlineStr">
        <is>
          <t>경기도</t>
        </is>
      </c>
      <c r="C9" s="4" t="inlineStr">
        <is>
          <t>평택</t>
        </is>
      </c>
      <c r="D9" s="4" t="n">
        <v>262.8</v>
      </c>
      <c r="E9" s="4" t="n">
        <v>1241.49</v>
      </c>
      <c r="F9" s="4" t="n">
        <v>620.8</v>
      </c>
      <c r="G9" s="4" t="n">
        <v>4.5</v>
      </c>
      <c r="H9" s="4" t="n">
        <v>4808.41</v>
      </c>
      <c r="I9" s="4" t="n">
        <v>2404.2</v>
      </c>
      <c r="J9" s="4" t="n">
        <v>3</v>
      </c>
      <c r="K9" s="4" t="n">
        <v>4964.41</v>
      </c>
      <c r="L9" s="4" t="n">
        <v>2482.2</v>
      </c>
    </row>
    <row r="10">
      <c r="A10" s="4" t="inlineStr">
        <is>
          <t>석문국가산업단지</t>
        </is>
      </c>
      <c r="B10" s="4" t="inlineStr">
        <is>
          <t>충청남도</t>
        </is>
      </c>
      <c r="C10" s="4" t="inlineStr">
        <is>
          <t>당진</t>
        </is>
      </c>
      <c r="D10" s="4" t="n">
        <v>7126.6</v>
      </c>
      <c r="E10" s="4" t="n">
        <v>792.5</v>
      </c>
      <c r="F10" s="4" t="n">
        <v>14.6</v>
      </c>
      <c r="G10" s="4" t="inlineStr">
        <is>
          <t>10km 부족</t>
        </is>
      </c>
      <c r="H10" s="4" t="n">
        <v>4347.09</v>
      </c>
      <c r="I10" s="4" t="n">
        <v>80.2</v>
      </c>
      <c r="J10" s="4" t="inlineStr">
        <is>
          <t>10km 부족</t>
        </is>
      </c>
      <c r="K10" s="4" t="n">
        <v>4357.4</v>
      </c>
      <c r="L10" s="4" t="n">
        <v>80.28</v>
      </c>
      <c r="M10" s="4" t="inlineStr">
        <is>
          <t>10km 반경에서 최대 1056 MW (자급률 20 %)</t>
        </is>
      </c>
    </row>
    <row r="11">
      <c r="A11" s="4" t="inlineStr">
        <is>
          <t>장안3·4일반산업단지</t>
        </is>
      </c>
      <c r="B11" s="4" t="inlineStr">
        <is>
          <t>경기도</t>
        </is>
      </c>
      <c r="C11" s="4" t="inlineStr">
        <is>
          <t>화성</t>
        </is>
      </c>
      <c r="D11" s="4" t="n">
        <v>404.69</v>
      </c>
      <c r="E11" s="4" t="n">
        <v>1527.8</v>
      </c>
      <c r="F11" s="4" t="n">
        <v>496</v>
      </c>
      <c r="G11" s="4" t="n">
        <v>3</v>
      </c>
      <c r="H11" s="4" t="n">
        <v>4170.9</v>
      </c>
      <c r="I11" s="4" t="n">
        <v>1354.2</v>
      </c>
      <c r="J11" s="4" t="n">
        <v>2</v>
      </c>
      <c r="K11" s="4" t="n">
        <v>4230.6</v>
      </c>
      <c r="L11" s="4" t="n">
        <v>1373.6</v>
      </c>
    </row>
    <row r="12">
      <c r="A12" s="4" t="inlineStr">
        <is>
          <t>탕정일반산업단지</t>
        </is>
      </c>
      <c r="B12" s="4" t="inlineStr">
        <is>
          <t>충청남도</t>
        </is>
      </c>
      <c r="C12" s="4" t="inlineStr">
        <is>
          <t>아산</t>
        </is>
      </c>
      <c r="D12" s="4" t="n">
        <v>841</v>
      </c>
      <c r="E12" s="4" t="n">
        <v>2378.79</v>
      </c>
      <c r="F12" s="4" t="n">
        <v>371.7</v>
      </c>
      <c r="G12" s="4" t="n">
        <v>6</v>
      </c>
      <c r="H12" s="4" t="n">
        <v>4167.89</v>
      </c>
      <c r="I12" s="4" t="n">
        <v>651.2</v>
      </c>
      <c r="J12" s="4" t="n">
        <v>4.5</v>
      </c>
      <c r="K12" s="4" t="n">
        <v>4489.8</v>
      </c>
      <c r="L12" s="4" t="n">
        <v>701.49</v>
      </c>
    </row>
    <row r="13">
      <c r="A13" s="4" t="inlineStr">
        <is>
          <t>아산국가산업단지</t>
        </is>
      </c>
      <c r="B13" s="4" t="inlineStr">
        <is>
          <t>충청남도</t>
        </is>
      </c>
      <c r="C13" s="4" t="inlineStr">
        <is>
          <t>아산</t>
        </is>
      </c>
      <c r="D13" s="4" t="n">
        <v>5356.91</v>
      </c>
      <c r="E13" s="4" t="n">
        <v>1611.4</v>
      </c>
      <c r="F13" s="4" t="n">
        <v>39.48</v>
      </c>
      <c r="G13" s="4" t="inlineStr">
        <is>
          <t>10km 부족</t>
        </is>
      </c>
      <c r="H13" s="4" t="n">
        <v>4130.4</v>
      </c>
      <c r="I13" s="4" t="n">
        <v>101.3</v>
      </c>
      <c r="J13" s="4" t="n">
        <v>10</v>
      </c>
      <c r="K13" s="4" t="n">
        <v>4162.51</v>
      </c>
      <c r="L13" s="4" t="n">
        <v>102.1</v>
      </c>
      <c r="M13" s="4" t="inlineStr">
        <is>
          <t>10km 반경에서 최대 2148 MW (자급률 53 %)</t>
        </is>
      </c>
    </row>
    <row r="14">
      <c r="A14" s="4" t="inlineStr">
        <is>
          <t>서산테크노밸리</t>
        </is>
      </c>
      <c r="B14" s="4" t="inlineStr">
        <is>
          <t>충청남도</t>
        </is>
      </c>
      <c r="C14" s="4" t="inlineStr">
        <is>
          <t>서산</t>
        </is>
      </c>
      <c r="D14" s="4" t="n">
        <v>579.2</v>
      </c>
      <c r="E14" s="4" t="n">
        <v>1879.4</v>
      </c>
      <c r="F14" s="4" t="n">
        <v>426.4</v>
      </c>
      <c r="G14" s="4" t="n">
        <v>5</v>
      </c>
      <c r="H14" s="4" t="n">
        <v>4082.79</v>
      </c>
      <c r="I14" s="4" t="n">
        <v>926.2</v>
      </c>
      <c r="J14" s="4" t="n">
        <v>3.5</v>
      </c>
      <c r="K14" s="4" t="n">
        <v>4140.41</v>
      </c>
      <c r="L14" s="4" t="n">
        <v>939.29</v>
      </c>
    </row>
    <row r="15">
      <c r="A15" s="4" t="inlineStr">
        <is>
          <t>천안제4일반산업단지</t>
        </is>
      </c>
      <c r="B15" s="4" t="inlineStr">
        <is>
          <t>충청남도</t>
        </is>
      </c>
      <c r="C15" s="4" t="inlineStr">
        <is>
          <t>천안시</t>
        </is>
      </c>
      <c r="D15" s="4" t="n">
        <v>416.31</v>
      </c>
      <c r="E15" s="4" t="n">
        <v>2110.79</v>
      </c>
      <c r="F15" s="4" t="n">
        <v>666.29</v>
      </c>
      <c r="G15" s="4" t="n">
        <v>3.5</v>
      </c>
      <c r="H15" s="4" t="n">
        <v>4071.8</v>
      </c>
      <c r="I15" s="4" t="n">
        <v>1285.3</v>
      </c>
      <c r="J15" s="4" t="n">
        <v>3</v>
      </c>
      <c r="K15" s="4" t="n">
        <v>4287.31</v>
      </c>
      <c r="L15" s="4" t="n">
        <v>1353.3</v>
      </c>
    </row>
    <row r="16">
      <c r="A16" s="4" t="inlineStr">
        <is>
          <t>천안백석일반산업단지</t>
        </is>
      </c>
      <c r="B16" s="4" t="inlineStr">
        <is>
          <t>충청남도</t>
        </is>
      </c>
      <c r="C16" s="4" t="inlineStr">
        <is>
          <t>천안시</t>
        </is>
      </c>
      <c r="D16" s="4" t="n">
        <v>344.31</v>
      </c>
      <c r="E16" s="4" t="n">
        <v>2336.2</v>
      </c>
      <c r="F16" s="4" t="n">
        <v>891.7</v>
      </c>
      <c r="G16" s="4" t="n">
        <v>4</v>
      </c>
      <c r="H16" s="4" t="n">
        <v>3990.4</v>
      </c>
      <c r="I16" s="4" t="n">
        <v>1523.09</v>
      </c>
      <c r="J16" s="4" t="n">
        <v>3.5</v>
      </c>
      <c r="K16" s="4" t="n">
        <v>4269.8</v>
      </c>
      <c r="L16" s="4" t="n">
        <v>1629.71</v>
      </c>
    </row>
    <row r="17">
      <c r="A17" s="4" t="inlineStr">
        <is>
          <t>천안제2일반산업단지</t>
        </is>
      </c>
      <c r="B17" s="4" t="inlineStr">
        <is>
          <t>충청남도</t>
        </is>
      </c>
      <c r="C17" s="4" t="inlineStr">
        <is>
          <t>천안시</t>
        </is>
      </c>
      <c r="D17" s="4" t="n">
        <v>646</v>
      </c>
      <c r="E17" s="4" t="n">
        <v>2175.61</v>
      </c>
      <c r="F17" s="4" t="n">
        <v>442.6</v>
      </c>
      <c r="G17" s="4" t="n">
        <v>4.5</v>
      </c>
      <c r="H17" s="4" t="n">
        <v>3844.6</v>
      </c>
      <c r="I17" s="4" t="n">
        <v>782.12</v>
      </c>
      <c r="J17" s="4" t="n">
        <v>4</v>
      </c>
      <c r="K17" s="4" t="n">
        <v>4064</v>
      </c>
      <c r="L17" s="4" t="n">
        <v>826.7</v>
      </c>
    </row>
    <row r="18">
      <c r="A18" s="4" t="inlineStr">
        <is>
          <t>당진송산2국가산업단지</t>
        </is>
      </c>
      <c r="B18" s="4" t="inlineStr">
        <is>
          <t>충청남도</t>
        </is>
      </c>
      <c r="C18" s="4" t="inlineStr">
        <is>
          <t>당진</t>
        </is>
      </c>
      <c r="D18" s="4" t="n">
        <v>3904.2</v>
      </c>
      <c r="E18" s="4" t="n">
        <v>1177.99</v>
      </c>
      <c r="F18" s="4" t="n">
        <v>39.59</v>
      </c>
      <c r="G18" s="4" t="inlineStr">
        <is>
          <t>10km 부족</t>
        </is>
      </c>
      <c r="H18" s="4" t="n">
        <v>3434.4</v>
      </c>
      <c r="I18" s="4" t="n">
        <v>115.61</v>
      </c>
      <c r="J18" s="4" t="n">
        <v>9.5</v>
      </c>
      <c r="K18" s="4" t="n">
        <v>3451.8</v>
      </c>
      <c r="L18" s="4" t="n">
        <v>116.2</v>
      </c>
      <c r="M18" s="4" t="inlineStr">
        <is>
          <t>10km 반경에서 최대 1572 MW (자급률 53 %)</t>
        </is>
      </c>
    </row>
    <row r="19">
      <c r="A19" s="4" t="inlineStr">
        <is>
          <t>당동일반산업단지</t>
        </is>
      </c>
      <c r="B19" s="4" t="inlineStr">
        <is>
          <t>경기도</t>
        </is>
      </c>
      <c r="C19" s="4" t="inlineStr">
        <is>
          <t>파주</t>
        </is>
      </c>
      <c r="D19" s="4" t="n">
        <v>220.8</v>
      </c>
      <c r="E19" s="4" t="n">
        <v>650.6799999999999</v>
      </c>
      <c r="F19" s="4" t="n">
        <v>387.31</v>
      </c>
      <c r="G19" s="4" t="n">
        <v>5</v>
      </c>
      <c r="H19" s="4" t="n">
        <v>3425.99</v>
      </c>
      <c r="I19" s="4" t="n">
        <v>2039.31</v>
      </c>
      <c r="J19" s="4" t="n">
        <v>3</v>
      </c>
      <c r="K19" s="4" t="n">
        <v>5157.6</v>
      </c>
      <c r="L19" s="4" t="n">
        <v>3070.01</v>
      </c>
    </row>
    <row r="20">
      <c r="A20" s="4" t="inlineStr">
        <is>
          <t>진위2일반산업단지</t>
        </is>
      </c>
      <c r="B20" s="4" t="inlineStr">
        <is>
          <t>경기도</t>
        </is>
      </c>
      <c r="C20" s="4" t="inlineStr">
        <is>
          <t>평택</t>
        </is>
      </c>
      <c r="D20" s="4" t="n">
        <v>320.6</v>
      </c>
      <c r="E20" s="4" t="n">
        <v>1091.2</v>
      </c>
      <c r="F20" s="4" t="n">
        <v>447.2</v>
      </c>
      <c r="G20" s="4" t="n">
        <v>4.5</v>
      </c>
      <c r="H20" s="4" t="n">
        <v>3297.69</v>
      </c>
      <c r="I20" s="4" t="n">
        <v>1351.5</v>
      </c>
      <c r="J20" s="4" t="n">
        <v>2</v>
      </c>
      <c r="K20" s="4" t="n">
        <v>3433.8</v>
      </c>
      <c r="L20" s="4" t="n">
        <v>1407.29</v>
      </c>
    </row>
    <row r="21">
      <c r="A21" s="4" t="inlineStr">
        <is>
          <t>파주LCD일반산업단지(월롱)</t>
        </is>
      </c>
      <c r="B21" s="4" t="inlineStr">
        <is>
          <t>경기도</t>
        </is>
      </c>
      <c r="C21" s="4" t="inlineStr">
        <is>
          <t>파주</t>
        </is>
      </c>
      <c r="D21" s="4" t="n">
        <v>1382.29</v>
      </c>
      <c r="E21" s="4" t="n">
        <v>656.6900000000001</v>
      </c>
      <c r="F21" s="4" t="n">
        <v>62.4</v>
      </c>
      <c r="G21" s="4" t="inlineStr">
        <is>
          <t>10km 부족</t>
        </is>
      </c>
      <c r="H21" s="4" t="n">
        <v>3248.91</v>
      </c>
      <c r="I21" s="4" t="n">
        <v>308.8</v>
      </c>
      <c r="J21" s="4" t="n">
        <v>6</v>
      </c>
      <c r="K21" s="4" t="n">
        <v>4587.09</v>
      </c>
      <c r="L21" s="4" t="n">
        <v>436</v>
      </c>
      <c r="M21" s="4" t="inlineStr">
        <is>
          <t>10km 반경에서 최대 876 MW (자급률 82 %)</t>
        </is>
      </c>
    </row>
    <row r="22">
      <c r="A22" s="4" t="inlineStr">
        <is>
          <t>대죽일반산업단지</t>
        </is>
      </c>
      <c r="B22" s="4" t="inlineStr">
        <is>
          <t>충청남도</t>
        </is>
      </c>
      <c r="C22" s="4" t="inlineStr">
        <is>
          <t>서산</t>
        </is>
      </c>
      <c r="D22" s="4" t="n">
        <v>2572.8</v>
      </c>
      <c r="E22" s="4" t="n">
        <v>976.2</v>
      </c>
      <c r="F22" s="4" t="n">
        <v>49.9</v>
      </c>
      <c r="G22" s="4" t="inlineStr">
        <is>
          <t>10km 부족</t>
        </is>
      </c>
      <c r="H22" s="4" t="n">
        <v>2770.1</v>
      </c>
      <c r="I22" s="4" t="n">
        <v>141.49</v>
      </c>
      <c r="J22" s="4" t="n">
        <v>8.5</v>
      </c>
      <c r="K22" s="4" t="n">
        <v>2781.21</v>
      </c>
      <c r="L22" s="4" t="n">
        <v>142.01</v>
      </c>
      <c r="M22" s="4" t="inlineStr">
        <is>
          <t>10km 반경에서 최대 1301 MW (자급률 68 %)</t>
        </is>
      </c>
    </row>
    <row r="23">
      <c r="A23" s="4" t="inlineStr">
        <is>
          <t>양촌일반산업단지</t>
        </is>
      </c>
      <c r="B23" s="4" t="inlineStr">
        <is>
          <t>경기도</t>
        </is>
      </c>
      <c r="C23" s="4" t="inlineStr">
        <is>
          <t>김포</t>
        </is>
      </c>
      <c r="D23" s="4" t="n">
        <v>425.69</v>
      </c>
      <c r="E23" s="4" t="n">
        <v>325</v>
      </c>
      <c r="F23" s="4" t="n">
        <v>100.28</v>
      </c>
      <c r="G23" s="4" t="n">
        <v>10</v>
      </c>
      <c r="H23" s="4" t="n">
        <v>2591</v>
      </c>
      <c r="I23" s="4" t="n">
        <v>799.7</v>
      </c>
      <c r="J23" s="4" t="n">
        <v>2.5</v>
      </c>
      <c r="K23" s="4" t="n">
        <v>3045.1</v>
      </c>
      <c r="L23" s="4" t="n">
        <v>939.8</v>
      </c>
    </row>
    <row r="24">
      <c r="A24" s="4" t="inlineStr">
        <is>
          <t>진위일반산업단지</t>
        </is>
      </c>
      <c r="B24" s="4" t="inlineStr">
        <is>
          <t>경기도</t>
        </is>
      </c>
      <c r="C24" s="4" t="inlineStr">
        <is>
          <t>평택</t>
        </is>
      </c>
      <c r="D24" s="4" t="n">
        <v>310.11</v>
      </c>
      <c r="E24" s="4" t="n">
        <v>901.4</v>
      </c>
      <c r="F24" s="4" t="n">
        <v>381.88</v>
      </c>
      <c r="G24" s="4" t="n">
        <v>5</v>
      </c>
      <c r="H24" s="4" t="n">
        <v>2477.4</v>
      </c>
      <c r="I24" s="4" t="n">
        <v>1049.71</v>
      </c>
      <c r="J24" s="4" t="n">
        <v>2.5</v>
      </c>
      <c r="K24" s="4" t="n">
        <v>2607.48</v>
      </c>
      <c r="L24" s="4" t="n">
        <v>1104.91</v>
      </c>
    </row>
    <row r="25">
      <c r="A25" s="4" t="inlineStr">
        <is>
          <t>학운일반산업단지</t>
        </is>
      </c>
      <c r="B25" s="4" t="inlineStr">
        <is>
          <t>경기도</t>
        </is>
      </c>
      <c r="C25" s="4" t="inlineStr">
        <is>
          <t>김포</t>
        </is>
      </c>
      <c r="D25" s="4" t="n">
        <v>394.2</v>
      </c>
      <c r="E25" s="4" t="n">
        <v>318.9</v>
      </c>
      <c r="F25" s="4" t="n">
        <v>106.29</v>
      </c>
      <c r="G25" s="4" t="n">
        <v>8.5</v>
      </c>
      <c r="H25" s="4" t="n">
        <v>2244.91</v>
      </c>
      <c r="I25" s="4" t="n">
        <v>748.3</v>
      </c>
      <c r="J25" s="4" t="n">
        <v>3</v>
      </c>
      <c r="K25" s="4" t="n">
        <v>2599.4</v>
      </c>
      <c r="L25" s="4" t="n">
        <v>866.51</v>
      </c>
    </row>
    <row r="26">
      <c r="A26" s="4" t="inlineStr">
        <is>
          <t>전곡해양일반산업단지</t>
        </is>
      </c>
      <c r="B26" s="4" t="inlineStr">
        <is>
          <t>경기도</t>
        </is>
      </c>
      <c r="C26" s="4" t="inlineStr">
        <is>
          <t>화성</t>
        </is>
      </c>
      <c r="D26" s="4" t="n">
        <v>126.09</v>
      </c>
      <c r="E26" s="4" t="n">
        <v>925.6</v>
      </c>
      <c r="F26" s="4" t="n">
        <v>964.2</v>
      </c>
      <c r="G26" s="4" t="n">
        <v>3</v>
      </c>
      <c r="H26" s="4" t="n">
        <v>1987.4</v>
      </c>
      <c r="I26" s="4" t="n">
        <v>2070.2</v>
      </c>
      <c r="J26" s="4" t="n">
        <v>2.5</v>
      </c>
      <c r="K26" s="4" t="n">
        <v>2082.68</v>
      </c>
      <c r="L26" s="4" t="n">
        <v>2169.49</v>
      </c>
    </row>
    <row r="27">
      <c r="A27" s="4" t="inlineStr">
        <is>
          <t>현곡지방산업단지</t>
        </is>
      </c>
      <c r="B27" s="4" t="inlineStr">
        <is>
          <t>경기도</t>
        </is>
      </c>
      <c r="C27" s="4" t="inlineStr">
        <is>
          <t>평택</t>
        </is>
      </c>
      <c r="D27" s="4" t="n">
        <v>57.8</v>
      </c>
      <c r="E27" s="4" t="n">
        <v>524.11</v>
      </c>
      <c r="F27" s="4" t="n">
        <v>1191.09</v>
      </c>
      <c r="G27" s="4" t="n">
        <v>1.5</v>
      </c>
      <c r="H27" s="4" t="n">
        <v>1913.6</v>
      </c>
      <c r="I27" s="4" t="n">
        <v>4349.1</v>
      </c>
      <c r="J27" s="4" t="n">
        <v>1</v>
      </c>
      <c r="K27" s="4" t="n">
        <v>1961.21</v>
      </c>
      <c r="L27" s="4" t="n">
        <v>4457.32</v>
      </c>
    </row>
    <row r="28">
      <c r="A28" s="4" t="inlineStr">
        <is>
          <t>평택·오성일반산업단지</t>
        </is>
      </c>
      <c r="B28" s="4" t="inlineStr">
        <is>
          <t>경기도</t>
        </is>
      </c>
      <c r="C28" s="4" t="inlineStr">
        <is>
          <t>평택</t>
        </is>
      </c>
      <c r="D28" s="4" t="n">
        <v>173.4</v>
      </c>
      <c r="E28" s="4" t="n">
        <v>543.89</v>
      </c>
      <c r="F28" s="4" t="n">
        <v>412</v>
      </c>
      <c r="G28" s="4" t="n">
        <v>2.5</v>
      </c>
      <c r="H28" s="4" t="n">
        <v>1906.51</v>
      </c>
      <c r="I28" s="4" t="n">
        <v>1444.28</v>
      </c>
      <c r="J28" s="4" t="n">
        <v>2</v>
      </c>
      <c r="K28" s="4" t="n">
        <v>1952.52</v>
      </c>
      <c r="L28" s="4" t="n">
        <v>1479.2</v>
      </c>
    </row>
    <row r="29">
      <c r="A29" s="4" t="inlineStr">
        <is>
          <t>장안1일반산업단지</t>
        </is>
      </c>
      <c r="B29" s="4" t="inlineStr">
        <is>
          <t>경기도</t>
        </is>
      </c>
      <c r="C29" s="4" t="inlineStr">
        <is>
          <t>화성</t>
        </is>
      </c>
      <c r="D29" s="4" t="n">
        <v>152.4</v>
      </c>
      <c r="E29" s="4" t="n">
        <v>797.4</v>
      </c>
      <c r="F29" s="4" t="n">
        <v>687.4</v>
      </c>
      <c r="G29" s="4" t="n">
        <v>2</v>
      </c>
      <c r="H29" s="4" t="n">
        <v>1603</v>
      </c>
      <c r="I29" s="4" t="n">
        <v>1381.9</v>
      </c>
      <c r="J29" s="4" t="n">
        <v>1.5</v>
      </c>
      <c r="K29" s="4" t="n">
        <v>1623</v>
      </c>
      <c r="L29" s="4" t="n">
        <v>1399.09</v>
      </c>
    </row>
    <row r="30">
      <c r="A30" s="4" t="inlineStr">
        <is>
          <t>예산일반산업단지</t>
        </is>
      </c>
      <c r="B30" s="4" t="inlineStr">
        <is>
          <t>충청남도</t>
        </is>
      </c>
      <c r="C30" s="4" t="inlineStr">
        <is>
          <t>예산</t>
        </is>
      </c>
      <c r="D30" s="4" t="n">
        <v>228.11</v>
      </c>
      <c r="E30" s="4" t="n">
        <v>495.89</v>
      </c>
      <c r="F30" s="4" t="n">
        <v>285.69</v>
      </c>
      <c r="G30" s="4" t="n">
        <v>6.5</v>
      </c>
      <c r="H30" s="4" t="n">
        <v>1442.9</v>
      </c>
      <c r="I30" s="4" t="n">
        <v>831.2</v>
      </c>
      <c r="J30" s="4" t="n">
        <v>4.5</v>
      </c>
      <c r="K30" s="4" t="n">
        <v>1475.61</v>
      </c>
      <c r="L30" s="4" t="n">
        <v>849.99</v>
      </c>
    </row>
    <row r="31">
      <c r="A31" s="4" t="inlineStr">
        <is>
          <t>장안2일반산업단지</t>
        </is>
      </c>
      <c r="B31" s="4" t="inlineStr">
        <is>
          <t>경기도</t>
        </is>
      </c>
      <c r="C31" s="4" t="inlineStr">
        <is>
          <t>화성</t>
        </is>
      </c>
      <c r="D31" s="4" t="n">
        <v>178.69</v>
      </c>
      <c r="E31" s="4" t="n">
        <v>751.7</v>
      </c>
      <c r="F31" s="4" t="n">
        <v>552.6900000000001</v>
      </c>
      <c r="G31" s="4" t="n">
        <v>2</v>
      </c>
      <c r="H31" s="4" t="n">
        <v>1437.49</v>
      </c>
      <c r="I31" s="4" t="n">
        <v>1057</v>
      </c>
      <c r="J31" s="4" t="n">
        <v>1.5</v>
      </c>
      <c r="K31" s="4" t="n">
        <v>1456.52</v>
      </c>
      <c r="L31" s="4" t="n">
        <v>1071</v>
      </c>
    </row>
    <row r="32">
      <c r="A32" s="4" t="inlineStr">
        <is>
          <t>발안일반산업단지</t>
        </is>
      </c>
      <c r="B32" s="4" t="inlineStr">
        <is>
          <t>경기도</t>
        </is>
      </c>
      <c r="C32" s="4" t="inlineStr">
        <is>
          <t>화성</t>
        </is>
      </c>
      <c r="D32" s="4" t="n">
        <v>147.2</v>
      </c>
      <c r="E32" s="4" t="n">
        <v>595.8</v>
      </c>
      <c r="F32" s="4" t="n">
        <v>532</v>
      </c>
      <c r="G32" s="4" t="n">
        <v>2.5</v>
      </c>
      <c r="H32" s="4" t="n">
        <v>1288.28</v>
      </c>
      <c r="I32" s="4" t="n">
        <v>1150.29</v>
      </c>
      <c r="J32" s="4" t="n">
        <v>2</v>
      </c>
      <c r="K32" s="4" t="n">
        <v>1312.11</v>
      </c>
      <c r="L32" s="4" t="n">
        <v>1171.5</v>
      </c>
    </row>
    <row r="33">
      <c r="A33" s="4" t="inlineStr">
        <is>
          <t>시화MTV(멀티테크노밸리)</t>
        </is>
      </c>
      <c r="B33" s="4" t="inlineStr">
        <is>
          <t>경기도</t>
        </is>
      </c>
      <c r="C33" s="4" t="inlineStr">
        <is>
          <t>시흥</t>
        </is>
      </c>
      <c r="D33" s="4" t="n">
        <v>2507.09</v>
      </c>
      <c r="E33" s="4" t="n">
        <v>902.6</v>
      </c>
      <c r="F33" s="4" t="n">
        <v>47.29</v>
      </c>
      <c r="G33" s="4" t="inlineStr">
        <is>
          <t>10km 부족</t>
        </is>
      </c>
      <c r="H33" s="4" t="n">
        <v>1253.1</v>
      </c>
      <c r="I33" s="4" t="n">
        <v>65.70999999999999</v>
      </c>
      <c r="J33" s="4" t="inlineStr">
        <is>
          <t>10km 부족</t>
        </is>
      </c>
      <c r="K33" s="4" t="n">
        <v>1308.8</v>
      </c>
      <c r="L33" s="4" t="n">
        <v>68.59999999999999</v>
      </c>
      <c r="M33" s="4" t="inlineStr">
        <is>
          <t>10km 반경에서 최대 1204 MW (자급률 62 %)</t>
        </is>
      </c>
    </row>
    <row r="34">
      <c r="A34" s="4" t="inlineStr">
        <is>
          <t>반월국가산업단지</t>
        </is>
      </c>
      <c r="B34" s="4" t="inlineStr">
        <is>
          <t>경기도</t>
        </is>
      </c>
      <c r="C34" s="4" t="inlineStr">
        <is>
          <t>안산</t>
        </is>
      </c>
      <c r="D34" s="4" t="n">
        <v>4120.69</v>
      </c>
      <c r="E34" s="4" t="n">
        <v>886.2</v>
      </c>
      <c r="F34" s="4" t="n">
        <v>28.28</v>
      </c>
      <c r="G34" s="4" t="inlineStr">
        <is>
          <t>10km 부족</t>
        </is>
      </c>
      <c r="H34" s="4" t="n">
        <v>1215</v>
      </c>
      <c r="I34" s="4" t="n">
        <v>38.7</v>
      </c>
      <c r="J34" s="4" t="inlineStr">
        <is>
          <t>10km 부족</t>
        </is>
      </c>
      <c r="K34" s="4" t="n">
        <v>1270.12</v>
      </c>
      <c r="L34" s="4" t="n">
        <v>40.52</v>
      </c>
      <c r="M34" s="4" t="inlineStr">
        <is>
          <t>10km 반경에서 최대 1180 MW (자급률 37 %)</t>
        </is>
      </c>
    </row>
    <row r="35">
      <c r="A35" s="4" t="inlineStr">
        <is>
          <t>마도일반산업단지</t>
        </is>
      </c>
      <c r="B35" s="4" t="inlineStr">
        <is>
          <t>경기도</t>
        </is>
      </c>
      <c r="C35" s="4" t="inlineStr">
        <is>
          <t>화성</t>
        </is>
      </c>
      <c r="D35" s="4" t="n">
        <v>147.2</v>
      </c>
      <c r="E35" s="4" t="n">
        <v>593.88</v>
      </c>
      <c r="F35" s="4" t="n">
        <v>530.29</v>
      </c>
      <c r="G35" s="4" t="n">
        <v>2.5</v>
      </c>
      <c r="H35" s="4" t="n">
        <v>1140.2</v>
      </c>
      <c r="I35" s="4" t="n">
        <v>1017.99</v>
      </c>
      <c r="J35" s="4" t="n">
        <v>1.5</v>
      </c>
      <c r="K35" s="4" t="n">
        <v>1186.29</v>
      </c>
      <c r="L35" s="4" t="n">
        <v>1059.2</v>
      </c>
    </row>
    <row r="36">
      <c r="A36" s="4" t="inlineStr">
        <is>
          <t>통진일반산업단지</t>
        </is>
      </c>
      <c r="B36" s="4" t="inlineStr">
        <is>
          <t>경기도</t>
        </is>
      </c>
      <c r="C36" s="4" t="inlineStr">
        <is>
          <t>김포</t>
        </is>
      </c>
      <c r="D36" s="4" t="n">
        <v>84.11</v>
      </c>
      <c r="E36" s="4" t="n">
        <v>55.72</v>
      </c>
      <c r="F36" s="4" t="n">
        <v>87</v>
      </c>
      <c r="G36" s="4" t="n">
        <v>5.5</v>
      </c>
      <c r="H36" s="4" t="n">
        <v>1100.39</v>
      </c>
      <c r="I36" s="4" t="n">
        <v>1719.4</v>
      </c>
      <c r="J36" s="4" t="n">
        <v>1.5</v>
      </c>
      <c r="K36" s="4" t="n">
        <v>1409.21</v>
      </c>
      <c r="L36" s="4" t="n">
        <v>2201.9</v>
      </c>
    </row>
    <row r="37">
      <c r="A37" s="4" t="inlineStr">
        <is>
          <t>문발일반산업단지</t>
        </is>
      </c>
      <c r="B37" s="4" t="inlineStr">
        <is>
          <t>경기도</t>
        </is>
      </c>
      <c r="C37" s="4" t="inlineStr">
        <is>
          <t>파주</t>
        </is>
      </c>
      <c r="D37" s="4" t="n">
        <v>89.40000000000001</v>
      </c>
      <c r="E37" s="4" t="n">
        <v>10.68</v>
      </c>
      <c r="F37" s="4" t="n">
        <v>15.7</v>
      </c>
      <c r="G37" s="4" t="inlineStr">
        <is>
          <t>10km 부족</t>
        </is>
      </c>
      <c r="H37" s="4" t="n">
        <v>903.4</v>
      </c>
      <c r="I37" s="4" t="n">
        <v>1328.5</v>
      </c>
      <c r="J37" s="4" t="n">
        <v>2</v>
      </c>
      <c r="K37" s="4" t="n">
        <v>1031</v>
      </c>
      <c r="L37" s="4" t="n">
        <v>1516.2</v>
      </c>
      <c r="M37" s="4" t="inlineStr">
        <is>
          <t>10km 반경에서 최대 14 MW (자급률 21 %)</t>
        </is>
      </c>
    </row>
    <row r="38">
      <c r="A38" s="4" t="inlineStr">
        <is>
          <t>시화국가산업단지</t>
        </is>
      </c>
      <c r="B38" s="4" t="inlineStr">
        <is>
          <t>경기도</t>
        </is>
      </c>
      <c r="C38" s="4" t="inlineStr">
        <is>
          <t>시흥</t>
        </is>
      </c>
      <c r="D38" s="4" t="n">
        <v>3700.2</v>
      </c>
      <c r="E38" s="4" t="n">
        <v>544.41</v>
      </c>
      <c r="F38" s="4" t="n">
        <v>19.31</v>
      </c>
      <c r="G38" s="4" t="inlineStr">
        <is>
          <t>10km 부족</t>
        </is>
      </c>
      <c r="H38" s="4" t="n">
        <v>631</v>
      </c>
      <c r="I38" s="4" t="n">
        <v>22.4</v>
      </c>
      <c r="J38" s="4" t="inlineStr">
        <is>
          <t>10km 부족</t>
        </is>
      </c>
      <c r="K38" s="4" t="n">
        <v>681.4</v>
      </c>
      <c r="L38" s="4" t="n">
        <v>24.2</v>
      </c>
      <c r="M38" s="4" t="inlineStr">
        <is>
          <t>10km 반경에서 최대 725 MW (자급률 25 %)</t>
        </is>
      </c>
    </row>
    <row r="39">
      <c r="A39" s="4" t="inlineStr">
        <is>
          <t>마장면세일반산업단지</t>
        </is>
      </c>
      <c r="B39" s="4" t="inlineStr">
        <is>
          <t>경기도</t>
        </is>
      </c>
      <c r="C39" s="4" t="inlineStr">
        <is>
          <t>이천</t>
        </is>
      </c>
      <c r="D39" s="4" t="n">
        <v>99.91</v>
      </c>
      <c r="E39" s="4" t="n">
        <v>270.01</v>
      </c>
      <c r="F39" s="4" t="n">
        <v>355.31</v>
      </c>
      <c r="G39" s="4" t="n">
        <v>3</v>
      </c>
      <c r="H39" s="4" t="n">
        <v>472.6</v>
      </c>
      <c r="I39" s="4" t="n">
        <v>621.8</v>
      </c>
      <c r="J39" s="4" t="n">
        <v>2.5</v>
      </c>
      <c r="K39" s="4" t="n">
        <v>496.5</v>
      </c>
      <c r="L39" s="4" t="n">
        <v>653.3200000000001</v>
      </c>
    </row>
    <row r="40">
      <c r="A40" s="4" t="inlineStr">
        <is>
          <t>원삼반도체클러스터(예정)</t>
        </is>
      </c>
      <c r="B40" s="4" t="inlineStr">
        <is>
          <t>경기도</t>
        </is>
      </c>
      <c r="C40" s="4" t="inlineStr">
        <is>
          <t>용인</t>
        </is>
      </c>
      <c r="D40" s="4" t="n">
        <v>4362.51</v>
      </c>
      <c r="E40" s="4" t="n">
        <v>108.91</v>
      </c>
      <c r="F40" s="4" t="n">
        <v>3.29</v>
      </c>
      <c r="G40" s="4" t="inlineStr">
        <is>
          <t>10km 부족</t>
        </is>
      </c>
      <c r="H40" s="4" t="n">
        <v>216.8</v>
      </c>
      <c r="I40" s="4" t="n">
        <v>6.51</v>
      </c>
      <c r="J40" s="4" t="inlineStr">
        <is>
          <t>10km 부족</t>
        </is>
      </c>
      <c r="K40" s="4" t="n">
        <v>225.69</v>
      </c>
      <c r="L40" s="4" t="n">
        <v>6.79</v>
      </c>
      <c r="M40" s="4" t="inlineStr">
        <is>
          <t>10km 반경에서 최대 146 MW (자급률 4 %)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A1:F10"/>
  <sheetViews>
    <sheetView topLeftCell="A1" zoomScaleNormal="100" zoomScaleSheetLayoutView="75" workbookViewId="0">
      <selection activeCell="H14" activeCellId="0" sqref="H14:H14"/>
    </sheetView>
  </sheetViews>
  <sheetFormatPr baseColWidth="8" defaultColWidth="9.00390625" defaultRowHeight="16.4"/>
  <cols>
    <col width="20.5" bestFit="1" customWidth="1" style="5" min="1" max="1"/>
    <col width="22.01953125" bestFit="1" customWidth="1" style="5" min="2" max="2"/>
    <col width="80.109375" bestFit="1" customWidth="1" style="5" min="3" max="3"/>
    <col width="10.5" bestFit="1" customWidth="1" style="5" min="4" max="4"/>
    <col width="27.71484375" bestFit="1" customWidth="1" style="5" min="5" max="5"/>
  </cols>
  <sheetData>
    <row r="1">
      <c r="A1" s="4" t="inlineStr">
        <is>
          <t>검증_항목</t>
        </is>
      </c>
      <c r="B1" s="4" t="inlineStr">
        <is>
          <t>본_분석</t>
        </is>
      </c>
      <c r="C1" s="4" t="inlineStr">
        <is>
          <t>외부_자료</t>
        </is>
      </c>
      <c r="D1" s="4" t="inlineStr">
        <is>
          <t>신뢰도</t>
        </is>
      </c>
      <c r="E1" s="4" t="inlineStr">
        <is>
          <t>출처</t>
        </is>
      </c>
      <c r="F1" s="4" t="inlineStr">
        <is>
          <t>판정</t>
        </is>
      </c>
    </row>
    <row r="2">
      <c r="A2" s="4" t="inlineStr">
        <is>
          <t>차광률 22.5%</t>
        </is>
      </c>
      <c r="B2" s="4" t="inlineStr">
        <is>
          <t>0.225</t>
        </is>
      </c>
      <c r="C2" s="4" t="inlineStr">
        <is>
          <t>KPVS 학술논문 2편 표준 설계 기준</t>
        </is>
      </c>
      <c r="D2" s="4" t="inlineStr">
        <is>
          <t>HIGH (6-0)</t>
        </is>
      </c>
      <c r="E2" s="4" t="inlineStr">
        <is>
          <t>ScienceOn, KPVS</t>
        </is>
      </c>
      <c r="F2" s="4" t="inlineStr">
        <is>
          <t>정확</t>
        </is>
      </c>
    </row>
    <row r="3">
      <c r="A3" s="4" t="inlineStr">
        <is>
          <t>패널효율 20%</t>
        </is>
      </c>
      <c r="B3" s="4" t="inlineStr">
        <is>
          <t>0.20</t>
        </is>
      </c>
      <c r="C3" s="4" t="inlineStr">
        <is>
          <t>한화큐셀 Q.PEAK DUO XL-G9.3 공식 20.4%</t>
        </is>
      </c>
      <c r="D3" s="4" t="inlineStr">
        <is>
          <t>HIGH (3-0)</t>
        </is>
      </c>
      <c r="E3" s="4" t="inlineStr">
        <is>
          <t>한화큐셀 데이터시트</t>
        </is>
      </c>
      <c r="F3" s="4" t="inlineStr">
        <is>
          <t>보수적</t>
        </is>
      </c>
    </row>
    <row r="4">
      <c r="A4" s="4" t="inlineStr">
        <is>
          <t>설비이용률 15%</t>
        </is>
      </c>
      <c r="B4" s="4" t="inlineStr">
        <is>
          <t>0.15</t>
        </is>
      </c>
      <c r="C4" s="4" t="inlineStr">
        <is>
          <t>한전 2026.02 공식 15%. EPSIS 1,415건. 영농형 실측 14.4%</t>
        </is>
      </c>
      <c r="D4" s="4" t="inlineStr">
        <is>
          <t>HIGH (8-1)</t>
        </is>
      </c>
      <c r="E4" s="4" t="inlineStr">
        <is>
          <t>KEPCO, EPSIS</t>
        </is>
      </c>
      <c r="F4" s="4" t="inlineStr">
        <is>
          <t>약간 낙관 (영농형 14.4%)</t>
        </is>
      </c>
    </row>
    <row r="5">
      <c r="A5" s="4" t="inlineStr">
        <is>
          <t>영농형 특별법</t>
        </is>
      </c>
      <c r="B5" s="4" t="inlineStr">
        <is>
          <t>법 개정 필요 (분석 시점)</t>
        </is>
      </c>
      <c r="C5" s="4" t="inlineStr">
        <is>
          <t>2026.5.7 국회 통과. 진흥구역 재생에너지지구, 23년 허가</t>
        </is>
      </c>
      <c r="D5" s="4" t="inlineStr">
        <is>
          <t>HIGH</t>
        </is>
      </c>
      <c r="E5" s="4" t="inlineStr">
        <is>
          <t>AI타임스, 농식품부, 에너지신문</t>
        </is>
      </c>
      <c r="F5" s="4" t="inlineStr">
        <is>
          <t>반영 완료 (S3 시나리오 갱신)</t>
        </is>
      </c>
    </row>
    <row r="6">
      <c r="A6" s="4" t="inlineStr">
        <is>
          <t>신안군 영농형</t>
        </is>
      </c>
      <c r="B6" s="4" t="inlineStr">
        <is>
          <t>산단당 1~3GW</t>
        </is>
      </c>
      <c r="C6" s="4" t="inlineStr">
        <is>
          <t>신안 753MW 운영. 목표 10GW (태양광 1.8GW). 햇빛연금 304억원</t>
        </is>
      </c>
      <c r="D6" s="4" t="inlineStr">
        <is>
          <t>MEDIUM</t>
        </is>
      </c>
      <c r="E6" s="4" t="inlineStr">
        <is>
          <t>솔라투데이, 신안군</t>
        </is>
      </c>
      <c r="F6" s="4" t="inlineStr">
        <is>
          <t>합리적 범위</t>
        </is>
      </c>
    </row>
    <row r="7">
      <c r="A7" s="4" t="inlineStr">
        <is>
          <t>영농형 경제성</t>
        </is>
      </c>
      <c r="B7" s="4" t="inlineStr">
        <is>
          <t>면적x0.045/1,000=MW</t>
        </is>
      </c>
      <c r="C7" s="4" t="inlineStr">
        <is>
          <t>수직형 쌀수확 무영향(MDPI). B/C 1.08(KCI). 잠재량 682GW(KEEI)</t>
        </is>
      </c>
      <c r="D7" s="4" t="inlineStr">
        <is>
          <t>HIGH</t>
        </is>
      </c>
      <c r="E7" s="4" t="inlineStr">
        <is>
          <t>MDPI, KCI, KEEI</t>
        </is>
      </c>
      <c r="F7" s="4" t="inlineStr">
        <is>
          <t>학술 확인</t>
        </is>
      </c>
    </row>
    <row r="8">
      <c r="A8" s="4" t="inlineStr">
        <is>
          <t>RE100 산단 정책</t>
        </is>
      </c>
      <c r="B8" s="4" t="inlineStr">
        <is>
          <t>특구 제안</t>
        </is>
      </c>
      <c r="C8" s="4" t="inlineStr">
        <is>
          <t>산업부 2026 착공/2030 가동. TF 8개 부처. 분산에너지법 시행. 수출기업 54.8% 미인지</t>
        </is>
      </c>
      <c r="D8" s="4" t="inlineStr">
        <is>
          <t>HIGH</t>
        </is>
      </c>
      <c r="E8" s="4" t="inlineStr">
        <is>
          <t>에너지경제, 산업부, KITA</t>
        </is>
      </c>
      <c r="F8" s="4" t="inlineStr">
        <is>
          <t>시의적절</t>
        </is>
      </c>
    </row>
    <row r="9">
      <c r="A9" s="4" t="inlineStr">
        <is>
          <t>전력소비량 추정</t>
        </is>
      </c>
      <c r="B9" s="4" t="inlineStr">
        <is>
          <t>Peak x 8,760 x 0.6</t>
        </is>
      </c>
      <c r="C9" s="4" t="inlineStr">
        <is>
          <t>부하율 60% 산업단지 평균 범위(50~70%). 한전 실측 비공개</t>
        </is>
      </c>
      <c r="D9" s="4" t="inlineStr">
        <is>
          <t>MEDIUM</t>
        </is>
      </c>
      <c r="E9" s="4" t="inlineStr">
        <is>
          <t>한전, KICOX</t>
        </is>
      </c>
      <c r="F9" s="4" t="inlineStr">
        <is>
          <t>합리적 (실측 보강 권고)</t>
        </is>
      </c>
    </row>
    <row r="10">
      <c r="A10" s="4" t="inlineStr">
        <is>
          <t>생태자연도 1등급 영향</t>
        </is>
      </c>
      <c r="B10" s="4" t="inlineStr">
        <is>
          <t>D_Regulation 미포함</t>
        </is>
      </c>
      <c r="C10" s="4" t="inlineStr">
        <is>
          <t>기후에너지환경부 지역별 생태자연도 면적 통계(2025.08.31). 14개 시군 평균 1등급 비율 5.2%</t>
        </is>
      </c>
      <c r="D10" s="4" t="inlineStr">
        <is>
          <t>HIGH</t>
        </is>
      </c>
      <c r="E10" s="4" t="inlineStr">
        <is>
          <t>기후에너지환경부</t>
        </is>
      </c>
      <c r="F10" s="4" t="inlineStr">
        <is>
          <t>영향 주의 (1~5%) - 현실적 손실 1.24%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K15"/>
  <sheetViews>
    <sheetView topLeftCell="A1" zoomScaleNormal="100" zoomScaleSheetLayoutView="75" workbookViewId="0">
      <selection activeCell="A1" activeCellId="0" sqref="A1:A1"/>
    </sheetView>
  </sheetViews>
  <sheetFormatPr baseColWidth="8" defaultColWidth="9.00390625" defaultRowHeight="16.4"/>
  <sheetData>
    <row r="1">
      <c r="A1" s="4" t="inlineStr">
        <is>
          <t>시군</t>
        </is>
      </c>
      <c r="B1" s="4" t="inlineStr">
        <is>
          <t>시도</t>
        </is>
      </c>
      <c r="C1" s="4" t="inlineStr">
        <is>
          <t>S0</t>
        </is>
      </c>
      <c r="D1" s="4" t="inlineStr">
        <is>
          <t>S1b</t>
        </is>
      </c>
      <c r="E1" s="4" t="inlineStr">
        <is>
          <t>S2</t>
        </is>
      </c>
      <c r="F1" s="4" t="inlineStr">
        <is>
          <t>S3</t>
        </is>
      </c>
      <c r="G1" s="4" t="inlineStr">
        <is>
          <t>S4</t>
        </is>
      </c>
      <c r="H1" s="4" t="inlineStr">
        <is>
          <t>S5</t>
        </is>
      </c>
      <c r="I1" s="4" t="inlineStr">
        <is>
          <t>S6</t>
        </is>
      </c>
      <c r="J1" s="4" t="inlineStr">
        <is>
          <t>S7</t>
        </is>
      </c>
      <c r="K1" s="4" t="inlineStr">
        <is>
          <t>S_MAX</t>
        </is>
      </c>
    </row>
    <row r="2">
      <c r="A2" s="4" t="inlineStr">
        <is>
          <t>김포</t>
        </is>
      </c>
      <c r="B2" s="4" t="inlineStr">
        <is>
          <t>경기도</t>
        </is>
      </c>
      <c r="C2" s="4" t="n">
        <v>658</v>
      </c>
      <c r="D2" s="4" t="n">
        <v>1803</v>
      </c>
      <c r="E2" s="4" t="n">
        <v>1876</v>
      </c>
      <c r="F2" s="4" t="n">
        <v>1876</v>
      </c>
      <c r="G2" s="4" t="n">
        <v>1876</v>
      </c>
      <c r="H2" s="4" t="n">
        <v>1876</v>
      </c>
      <c r="I2" s="4" t="n">
        <v>3932</v>
      </c>
      <c r="J2" s="4" t="n">
        <v>3975</v>
      </c>
      <c r="K2" s="4" t="n">
        <v>3975</v>
      </c>
    </row>
    <row r="3">
      <c r="A3" s="4" t="inlineStr">
        <is>
          <t>당진</t>
        </is>
      </c>
      <c r="B3" s="4" t="inlineStr">
        <is>
          <t>충청남도</t>
        </is>
      </c>
      <c r="C3" s="4" t="n">
        <v>4249</v>
      </c>
      <c r="D3" s="4" t="n">
        <v>13803</v>
      </c>
      <c r="E3" s="4" t="n">
        <v>13952</v>
      </c>
      <c r="F3" s="4" t="n">
        <v>14322</v>
      </c>
      <c r="G3" s="4" t="n">
        <v>14322</v>
      </c>
      <c r="H3" s="4" t="n">
        <v>14327</v>
      </c>
      <c r="I3" s="4" t="n">
        <v>14391</v>
      </c>
      <c r="J3" s="4" t="n">
        <v>14414</v>
      </c>
      <c r="K3" s="4" t="n">
        <v>14436</v>
      </c>
    </row>
    <row r="4">
      <c r="A4" s="4" t="inlineStr">
        <is>
          <t>서산</t>
        </is>
      </c>
      <c r="B4" s="4" t="inlineStr">
        <is>
          <t>충청남도</t>
        </is>
      </c>
      <c r="C4" s="4" t="n">
        <v>2421</v>
      </c>
      <c r="D4" s="4" t="n">
        <v>6537</v>
      </c>
      <c r="E4" s="4" t="n">
        <v>6642</v>
      </c>
      <c r="F4" s="4" t="n">
        <v>7189</v>
      </c>
      <c r="G4" s="4" t="n">
        <v>7189</v>
      </c>
      <c r="H4" s="4" t="n">
        <v>7250</v>
      </c>
      <c r="I4" s="4" t="n">
        <v>7260</v>
      </c>
      <c r="J4" s="4" t="n">
        <v>7340</v>
      </c>
      <c r="K4" s="4" t="n">
        <v>7340</v>
      </c>
    </row>
    <row r="5">
      <c r="A5" s="4" t="inlineStr">
        <is>
          <t>시흥</t>
        </is>
      </c>
      <c r="B5" s="4" t="inlineStr">
        <is>
          <t>경기도</t>
        </is>
      </c>
      <c r="C5" s="4" t="n">
        <v>1088</v>
      </c>
      <c r="D5" s="4" t="n">
        <v>1088</v>
      </c>
      <c r="E5" s="4" t="n">
        <v>1132</v>
      </c>
      <c r="F5" s="4" t="n">
        <v>1132</v>
      </c>
      <c r="G5" s="4" t="n">
        <v>1132</v>
      </c>
      <c r="H5" s="4" t="n">
        <v>1134</v>
      </c>
      <c r="I5" s="4" t="n">
        <v>1209</v>
      </c>
      <c r="J5" s="4" t="n">
        <v>1234</v>
      </c>
      <c r="K5" s="4" t="n">
        <v>1234</v>
      </c>
    </row>
    <row r="6">
      <c r="A6" s="4" t="inlineStr">
        <is>
          <t>아산</t>
        </is>
      </c>
      <c r="B6" s="4" t="inlineStr">
        <is>
          <t>충청남도</t>
        </is>
      </c>
      <c r="C6" s="4" t="n">
        <v>3364</v>
      </c>
      <c r="D6" s="4" t="n">
        <v>5796</v>
      </c>
      <c r="E6" s="4" t="n">
        <v>5884</v>
      </c>
      <c r="F6" s="4" t="n">
        <v>8453</v>
      </c>
      <c r="G6" s="4" t="n">
        <v>8453</v>
      </c>
      <c r="H6" s="4" t="n">
        <v>8498</v>
      </c>
      <c r="I6" s="4" t="n">
        <v>8779</v>
      </c>
      <c r="J6" s="4" t="n">
        <v>9038</v>
      </c>
      <c r="K6" s="4" t="n">
        <v>9038</v>
      </c>
    </row>
    <row r="7">
      <c r="A7" s="4" t="inlineStr">
        <is>
          <t>안산</t>
        </is>
      </c>
      <c r="B7" s="4" t="inlineStr">
        <is>
          <t>경기도</t>
        </is>
      </c>
      <c r="C7" s="4" t="n">
        <v>192</v>
      </c>
      <c r="D7" s="4" t="n">
        <v>297</v>
      </c>
      <c r="E7" s="4" t="n">
        <v>332</v>
      </c>
      <c r="F7" s="4" t="n">
        <v>332</v>
      </c>
      <c r="G7" s="4" t="n">
        <v>332</v>
      </c>
      <c r="H7" s="4" t="n">
        <v>332</v>
      </c>
      <c r="I7" s="4" t="n">
        <v>391</v>
      </c>
      <c r="J7" s="4" t="n">
        <v>421</v>
      </c>
      <c r="K7" s="4" t="n">
        <v>421</v>
      </c>
    </row>
    <row r="8">
      <c r="A8" s="4" t="inlineStr">
        <is>
          <t>예산</t>
        </is>
      </c>
      <c r="B8" s="4" t="inlineStr">
        <is>
          <t>충청남도</t>
        </is>
      </c>
      <c r="C8" s="4" t="n">
        <v>4114</v>
      </c>
      <c r="D8" s="4" t="n">
        <v>12162</v>
      </c>
      <c r="E8" s="4" t="n">
        <v>12284</v>
      </c>
      <c r="F8" s="4" t="n">
        <v>13404</v>
      </c>
      <c r="G8" s="4" t="n">
        <v>13404</v>
      </c>
      <c r="H8" s="4" t="n">
        <v>13420</v>
      </c>
      <c r="I8" s="4" t="n">
        <v>13545</v>
      </c>
      <c r="J8" s="4" t="n">
        <v>13721</v>
      </c>
      <c r="K8" s="4" t="n">
        <v>13721</v>
      </c>
    </row>
    <row r="9">
      <c r="A9" s="4" t="inlineStr">
        <is>
          <t>용인</t>
        </is>
      </c>
      <c r="B9" s="4" t="inlineStr">
        <is>
          <t>경기도</t>
        </is>
      </c>
      <c r="C9" s="4" t="n">
        <v>128</v>
      </c>
      <c r="D9" s="4" t="n">
        <v>130</v>
      </c>
      <c r="E9" s="4" t="n">
        <v>132</v>
      </c>
      <c r="F9" s="4" t="n">
        <v>142</v>
      </c>
      <c r="G9" s="4" t="n">
        <v>142</v>
      </c>
      <c r="H9" s="4" t="n">
        <v>142</v>
      </c>
      <c r="I9" s="4" t="n">
        <v>174</v>
      </c>
      <c r="J9" s="4" t="n">
        <v>199</v>
      </c>
      <c r="K9" s="4" t="n">
        <v>199</v>
      </c>
    </row>
    <row r="10">
      <c r="A10" s="4" t="inlineStr">
        <is>
          <t>이천</t>
        </is>
      </c>
      <c r="B10" s="4" t="inlineStr">
        <is>
          <t>경기도</t>
        </is>
      </c>
      <c r="C10" s="4" t="n">
        <v>3794</v>
      </c>
      <c r="D10" s="4" t="n">
        <v>5646</v>
      </c>
      <c r="E10" s="4" t="n">
        <v>5863</v>
      </c>
      <c r="F10" s="4" t="n">
        <v>8446</v>
      </c>
      <c r="G10" s="4" t="n">
        <v>8446</v>
      </c>
      <c r="H10" s="4" t="n">
        <v>8452</v>
      </c>
      <c r="I10" s="4" t="n">
        <v>8658</v>
      </c>
      <c r="J10" s="4" t="n">
        <v>8722</v>
      </c>
      <c r="K10" s="4" t="n">
        <v>8722</v>
      </c>
    </row>
    <row r="11">
      <c r="A11" s="4" t="inlineStr">
        <is>
          <t>천안시</t>
        </is>
      </c>
      <c r="B11" s="4" t="inlineStr">
        <is>
          <t>충청남도</t>
        </is>
      </c>
      <c r="C11" s="4" t="n">
        <v>3609</v>
      </c>
      <c r="D11" s="4" t="n">
        <v>6288</v>
      </c>
      <c r="E11" s="4" t="n">
        <v>6508</v>
      </c>
      <c r="F11" s="4" t="n">
        <v>7116</v>
      </c>
      <c r="G11" s="4" t="n">
        <v>7116</v>
      </c>
      <c r="H11" s="4" t="n">
        <v>7225</v>
      </c>
      <c r="I11" s="4" t="n">
        <v>7403</v>
      </c>
      <c r="J11" s="4" t="n">
        <v>7541</v>
      </c>
      <c r="K11" s="4" t="n">
        <v>7547</v>
      </c>
    </row>
    <row r="12">
      <c r="A12" s="4" t="inlineStr">
        <is>
          <t>파주</t>
        </is>
      </c>
      <c r="B12" s="4" t="inlineStr">
        <is>
          <t>경기도</t>
        </is>
      </c>
      <c r="C12" s="4" t="n">
        <v>1545</v>
      </c>
      <c r="D12" s="4" t="n">
        <v>2172</v>
      </c>
      <c r="E12" s="4" t="n">
        <v>2229</v>
      </c>
      <c r="F12" s="4" t="n">
        <v>2551</v>
      </c>
      <c r="G12" s="4" t="n">
        <v>2551</v>
      </c>
      <c r="H12" s="4" t="n">
        <v>2564</v>
      </c>
      <c r="I12" s="4" t="n">
        <v>7460</v>
      </c>
      <c r="J12" s="4" t="n">
        <v>9497</v>
      </c>
      <c r="K12" s="4" t="n">
        <v>9497</v>
      </c>
    </row>
    <row r="13">
      <c r="A13" s="4" t="inlineStr">
        <is>
          <t>평택</t>
        </is>
      </c>
      <c r="B13" s="4" t="inlineStr">
        <is>
          <t>경기도</t>
        </is>
      </c>
      <c r="C13" s="4" t="n">
        <v>2574</v>
      </c>
      <c r="D13" s="4" t="n">
        <v>6034</v>
      </c>
      <c r="E13" s="4" t="n">
        <v>6130</v>
      </c>
      <c r="F13" s="4" t="n">
        <v>8965</v>
      </c>
      <c r="G13" s="4" t="n">
        <v>8965</v>
      </c>
      <c r="H13" s="4" t="n">
        <v>8965</v>
      </c>
      <c r="I13" s="4" t="n">
        <v>9339</v>
      </c>
      <c r="J13" s="4" t="n">
        <v>9609</v>
      </c>
      <c r="K13" s="4" t="n">
        <v>9609</v>
      </c>
    </row>
    <row r="14">
      <c r="A14" s="4" t="inlineStr">
        <is>
          <t>홍성</t>
        </is>
      </c>
      <c r="B14" s="4" t="inlineStr">
        <is>
          <t>충청남도</t>
        </is>
      </c>
      <c r="C14" s="4" t="n">
        <v>3303</v>
      </c>
      <c r="D14" s="4" t="n">
        <v>6546</v>
      </c>
      <c r="E14" s="4" t="n">
        <v>6706</v>
      </c>
      <c r="F14" s="4" t="n">
        <v>7625</v>
      </c>
      <c r="G14" s="4" t="n">
        <v>7625</v>
      </c>
      <c r="H14" s="4" t="n">
        <v>7643</v>
      </c>
      <c r="I14" s="4" t="n">
        <v>7666</v>
      </c>
      <c r="J14" s="4" t="n">
        <v>7881</v>
      </c>
      <c r="K14" s="4" t="n">
        <v>7886</v>
      </c>
    </row>
    <row r="15">
      <c r="A15" s="4" t="inlineStr">
        <is>
          <t>화성</t>
        </is>
      </c>
      <c r="B15" s="4" t="inlineStr">
        <is>
          <t>경기도</t>
        </is>
      </c>
      <c r="C15" s="4" t="n">
        <v>4775</v>
      </c>
      <c r="D15" s="4" t="n">
        <v>7305</v>
      </c>
      <c r="E15" s="4" t="n">
        <v>7429</v>
      </c>
      <c r="F15" s="4" t="n">
        <v>9973</v>
      </c>
      <c r="G15" s="4" t="n">
        <v>9973</v>
      </c>
      <c r="H15" s="4" t="n">
        <v>9979</v>
      </c>
      <c r="I15" s="4" t="n">
        <v>10320</v>
      </c>
      <c r="J15" s="4" t="n">
        <v>10542</v>
      </c>
      <c r="K15" s="4" t="n">
        <v>10542</v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I11"/>
  <sheetViews>
    <sheetView topLeftCell="A1" zoomScaleNormal="100" zoomScaleSheetLayoutView="75" workbookViewId="0">
      <selection activeCell="A1" activeCellId="0" sqref="A1:A1"/>
    </sheetView>
  </sheetViews>
  <sheetFormatPr baseColWidth="8" defaultColWidth="9.00390625" defaultRowHeight="16.4"/>
  <sheetData>
    <row r="1">
      <c r="A1" s="4" t="inlineStr">
        <is>
          <t>시나리오</t>
        </is>
      </c>
      <c r="B1" s="4" t="inlineStr">
        <is>
          <t>풀어쓴_명칭</t>
        </is>
      </c>
      <c r="C1" s="4" t="inlineStr">
        <is>
          <t>추가_변수</t>
        </is>
      </c>
      <c r="D1" s="4" t="inlineStr">
        <is>
          <t>포함_범위</t>
        </is>
      </c>
      <c r="E1" s="4" t="inlineStr">
        <is>
          <t>협의_주체</t>
        </is>
      </c>
      <c r="F1" s="4" t="inlineStr">
        <is>
          <t>대표_법령</t>
        </is>
      </c>
      <c r="G1" s="4" t="inlineStr">
        <is>
          <t>평균_MW</t>
        </is>
      </c>
      <c r="H1" s="4" t="inlineStr">
        <is>
          <t>평균_자급률_pct</t>
        </is>
      </c>
      <c r="I1" s="4" t="inlineStr">
        <is>
          <t>의미</t>
        </is>
      </c>
    </row>
    <row r="2">
      <c r="A2" s="4" t="inlineStr">
        <is>
          <t>S0</t>
        </is>
      </c>
      <c r="B2" s="4" t="inlineStr">
        <is>
          <t>현행법 가능 농지만</t>
        </is>
      </c>
      <c r="C2" s="4" t="inlineStr">
        <is>
          <t>(기본)</t>
        </is>
      </c>
      <c r="D2" s="4" t="inlineStr">
        <is>
          <t>needs_S0_clean=1</t>
        </is>
      </c>
      <c r="E2" s="4" t="inlineStr">
        <is>
          <t>불필요</t>
        </is>
      </c>
      <c r="F2" s="4" t="inlineStr">
        <is>
          <t>현행법</t>
        </is>
      </c>
      <c r="G2" s="4" t="n">
        <v>1110.01</v>
      </c>
      <c r="H2" s="4" t="n">
        <v>390.01</v>
      </c>
      <c r="I2" s="4" t="inlineStr">
        <is>
          <t>즉시 가능</t>
        </is>
      </c>
    </row>
    <row r="3">
      <c r="A3" s="4" t="inlineStr">
        <is>
          <t>S1a</t>
        </is>
      </c>
      <c r="B3" s="4" t="inlineStr">
        <is>
          <t>+ 농업진흥지역 기타 (농식품부 행정 협의)</t>
        </is>
      </c>
      <c r="C3" s="4" t="inlineStr">
        <is>
          <t>needs_agp_other</t>
        </is>
      </c>
      <c r="D3" s="4" t="inlineStr">
        <is>
          <t>S0+진흥기타</t>
        </is>
      </c>
      <c r="E3" s="4" t="inlineStr">
        <is>
          <t>농식품부</t>
        </is>
      </c>
      <c r="F3" s="4" t="inlineStr">
        <is>
          <t>농지법(행정)</t>
        </is>
      </c>
      <c r="G3" s="4" t="n">
        <v>1110.01</v>
      </c>
      <c r="H3" s="4" t="n">
        <v>390.01</v>
      </c>
      <c r="I3" s="4" t="inlineStr">
        <is>
          <t>효과 미미</t>
        </is>
      </c>
    </row>
    <row r="4">
      <c r="A4" s="4" t="inlineStr">
        <is>
          <t>S1b</t>
        </is>
      </c>
      <c r="B4" s="4" t="inlineStr">
        <is>
          <t>+ 농업보호구역 (농지법 제30조)</t>
        </is>
      </c>
      <c r="C4" s="4" t="inlineStr">
        <is>
          <t>needs_agp_protect</t>
        </is>
      </c>
      <c r="D4" s="4" t="inlineStr">
        <is>
          <t>S1a+보호구역</t>
        </is>
      </c>
      <c r="E4" s="4" t="inlineStr">
        <is>
          <t>농식품부</t>
        </is>
      </c>
      <c r="F4" s="4" t="inlineStr">
        <is>
          <t>농지법 제30조</t>
        </is>
      </c>
      <c r="G4" s="4" t="n">
        <v>2379</v>
      </c>
      <c r="H4" s="4" t="n">
        <v>897</v>
      </c>
      <c r="I4" s="4" t="inlineStr">
        <is>
          <t>보호구역 해제 (+984MW)</t>
        </is>
      </c>
    </row>
    <row r="5">
      <c r="A5" s="4" t="inlineStr">
        <is>
          <t>S2</t>
        </is>
      </c>
      <c r="B5" s="4" t="inlineStr">
        <is>
          <t>+ 시설재배지 영농형 인정 (시행령)</t>
        </is>
      </c>
      <c r="C5" s="4" t="inlineStr">
        <is>
          <t>needs_facility</t>
        </is>
      </c>
      <c r="D5" s="4" t="inlineStr">
        <is>
          <t>S1b+시설재배지</t>
        </is>
      </c>
      <c r="E5" s="4" t="inlineStr">
        <is>
          <t>농식품부</t>
        </is>
      </c>
      <c r="F5" s="4" t="inlineStr">
        <is>
          <t>농지법 시행령</t>
        </is>
      </c>
      <c r="G5" s="4" t="n">
        <v>2411</v>
      </c>
      <c r="H5" s="4" t="n">
        <v>910.01</v>
      </c>
      <c r="I5" s="4" t="inlineStr">
        <is>
          <t>시설재배지 영농형 인정</t>
        </is>
      </c>
    </row>
    <row r="6">
      <c r="A6" s="4" t="inlineStr">
        <is>
          <t>S3 ★</t>
        </is>
      </c>
      <c r="B6" s="4" t="inlineStr">
        <is>
          <t>+ 농업진흥구역 허용 (영농형 특별법)</t>
        </is>
      </c>
      <c r="C6" s="4" t="inlineStr">
        <is>
          <t>needs_agp_core</t>
        </is>
      </c>
      <c r="D6" s="4" t="inlineStr">
        <is>
          <t>S2+진흥구역</t>
        </is>
      </c>
      <c r="E6" s="4" t="inlineStr">
        <is>
          <t>농식품부 + 지자체 (재생에너지지구)</t>
        </is>
      </c>
      <c r="F6" s="4" t="inlineStr">
        <is>
          <t>농지법 제28조 + 영농형 특별법 (2026.5.7)</t>
        </is>
      </c>
      <c r="G6" s="4" t="n">
        <v>3049</v>
      </c>
      <c r="H6" s="4" t="n">
        <v>1165</v>
      </c>
      <c r="I6" s="4" t="inlineStr">
        <is>
          <t>영농형 특별법 통과(2026.5.7)로 재생에너지지구 지정 가능. 시행령 정비 중. 산단당 +542MW</t>
        </is>
      </c>
    </row>
    <row r="7">
      <c r="A7" s="4" t="inlineStr">
        <is>
          <t>S4</t>
        </is>
      </c>
      <c r="B7" s="4" t="inlineStr">
        <is>
          <t>+ 잡종지 (농지법 제2조 개정)</t>
        </is>
      </c>
      <c r="C7" s="4" t="inlineStr">
        <is>
          <t>needs_jongchunji</t>
        </is>
      </c>
      <c r="D7" s="4" t="inlineStr">
        <is>
          <t>S3+잡종지</t>
        </is>
      </c>
      <c r="E7" s="4" t="inlineStr">
        <is>
          <t>농식품부·국토부</t>
        </is>
      </c>
      <c r="F7" s="4" t="inlineStr">
        <is>
          <t>농지법 제2조</t>
        </is>
      </c>
      <c r="G7" s="4" t="n">
        <v>3049</v>
      </c>
      <c r="H7" s="4" t="n">
        <v>1165</v>
      </c>
      <c r="I7" s="4" t="inlineStr">
        <is>
          <t>효과 미미</t>
        </is>
      </c>
    </row>
    <row r="8">
      <c r="A8" s="4" t="inlineStr">
        <is>
          <t>S5</t>
        </is>
      </c>
      <c r="B8" s="4" t="inlineStr">
        <is>
          <t>+ 경사도·토지이용규제 완화</t>
        </is>
      </c>
      <c r="C8" s="4" t="inlineStr">
        <is>
          <t>needs_terrain+landuse</t>
        </is>
      </c>
      <c r="D8" s="4" t="inlineStr">
        <is>
          <t>S4+경사·토지이용</t>
        </is>
      </c>
      <c r="E8" s="4" t="inlineStr">
        <is>
          <t>지자체·국토부</t>
        </is>
      </c>
      <c r="F8" s="4" t="inlineStr">
        <is>
          <t>조례·국토계획법</t>
        </is>
      </c>
      <c r="G8" s="4" t="n">
        <v>3051</v>
      </c>
      <c r="H8" s="4" t="n">
        <v>1166.01</v>
      </c>
      <c r="I8" s="4" t="inlineStr">
        <is>
          <t>효과 미미</t>
        </is>
      </c>
    </row>
    <row r="9">
      <c r="A9" s="4" t="inlineStr">
        <is>
          <t>S6</t>
        </is>
      </c>
      <c r="B9" s="4" t="inlineStr">
        <is>
          <t>+ 군사보호구역 완충 (국방부)</t>
        </is>
      </c>
      <c r="C9" s="4" t="inlineStr">
        <is>
          <t>needs_military</t>
        </is>
      </c>
      <c r="D9" s="4" t="inlineStr">
        <is>
          <t>S5+군사 완충</t>
        </is>
      </c>
      <c r="E9" s="4" t="inlineStr">
        <is>
          <t>국방부</t>
        </is>
      </c>
      <c r="F9" s="4" t="inlineStr">
        <is>
          <t>군사기지법</t>
        </is>
      </c>
      <c r="G9" s="4" t="n">
        <v>3217</v>
      </c>
      <c r="H9" s="4" t="n">
        <v>1239</v>
      </c>
      <c r="I9" s="4" t="inlineStr">
        <is>
          <t>국방부 협의 (+169MW)</t>
        </is>
      </c>
    </row>
    <row r="10">
      <c r="A10" s="4" t="inlineStr">
        <is>
          <t>S7</t>
        </is>
      </c>
      <c r="B10" s="4" t="inlineStr">
        <is>
          <t>+ 자연환경·공원·보안림 (환경부·산림청)</t>
        </is>
      </c>
      <c r="C10" s="4" t="inlineStr">
        <is>
          <t>needs_eco+park+forest</t>
        </is>
      </c>
      <c r="D10" s="4" t="inlineStr">
        <is>
          <t>S6+자연환경·공원</t>
        </is>
      </c>
      <c r="E10" s="4" t="inlineStr">
        <is>
          <t>환경부·산림청</t>
        </is>
      </c>
      <c r="F10" s="4" t="inlineStr">
        <is>
          <t>자연환경보전법 등</t>
        </is>
      </c>
      <c r="G10" s="4" t="n">
        <v>3236</v>
      </c>
      <c r="H10" s="4" t="n">
        <v>1245</v>
      </c>
      <c r="I10" s="4" t="inlineStr">
        <is>
          <t>환경부 협의</t>
        </is>
      </c>
    </row>
    <row r="11">
      <c r="A11" s="4" t="inlineStr">
        <is>
          <t>S_MAX</t>
        </is>
      </c>
      <c r="B11" s="4" t="inlineStr">
        <is>
          <t>모든 부처 협의 시 최대 잠재량</t>
        </is>
      </c>
      <c r="C11" s="4" t="inlineStr">
        <is>
          <t>needs_mining+baekdu</t>
        </is>
      </c>
      <c r="D11" s="4" t="inlineStr">
        <is>
          <t>S7+광업·백두대간</t>
        </is>
      </c>
      <c r="E11" s="4" t="inlineStr">
        <is>
          <t>산업부·산림청</t>
        </is>
      </c>
      <c r="F11" s="4" t="inlineStr">
        <is>
          <t>광업법·백두대간법</t>
        </is>
      </c>
      <c r="G11" s="4" t="n">
        <v>3240</v>
      </c>
      <c r="H11" s="4" t="n">
        <v>1249</v>
      </c>
      <c r="I11" s="4" t="inlineStr">
        <is>
          <t>최대 잠재량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5.xml><?xml version="1.0" encoding="utf-8"?>
<worksheet xmlns="http://schemas.openxmlformats.org/spreadsheetml/2006/main">
  <sheetPr codeName="Sheet14">
    <outlinePr summaryBelow="1" summaryRight="1"/>
    <pageSetUpPr/>
  </sheetPr>
  <dimension ref="A1:Q15"/>
  <sheetViews>
    <sheetView topLeftCell="A1" zoomScaleNormal="100" zoomScaleSheetLayoutView="75" workbookViewId="0">
      <selection activeCell="Q22" activeCellId="0" sqref="Q22:Q22"/>
    </sheetView>
  </sheetViews>
  <sheetFormatPr baseColWidth="8" defaultColWidth="9.00390625" defaultRowHeight="16.4"/>
  <sheetData>
    <row r="1">
      <c r="A1" s="4" t="inlineStr">
        <is>
          <t>시도</t>
        </is>
      </c>
      <c r="B1" s="4" t="inlineStr">
        <is>
          <t>시군</t>
        </is>
      </c>
      <c r="C1" s="4" t="inlineStr">
        <is>
          <t>산단_수</t>
        </is>
      </c>
      <c r="D1" s="4" t="inlineStr">
        <is>
          <t>시군_전력소비</t>
        </is>
      </c>
      <c r="E1" s="4" t="inlineStr">
        <is>
          <t>현행법_100%달성</t>
        </is>
      </c>
      <c r="F1" s="4" t="inlineStr">
        <is>
          <t>현행법_평균반경</t>
        </is>
      </c>
      <c r="G1" s="4" t="inlineStr">
        <is>
          <t>현행법_최대반경</t>
        </is>
      </c>
      <c r="H1" s="4" t="inlineStr">
        <is>
          <t>현행법_10km부족</t>
        </is>
      </c>
      <c r="I1" s="4" t="inlineStr">
        <is>
          <t>특별법_100%달성</t>
        </is>
      </c>
      <c r="J1" s="4" t="inlineStr">
        <is>
          <t>특별법_평균반경</t>
        </is>
      </c>
      <c r="K1" s="4" t="inlineStr">
        <is>
          <t>시군총_S0_MW</t>
        </is>
      </c>
      <c r="L1" s="4" t="inlineStr">
        <is>
          <t>시군총_S3_MW</t>
        </is>
      </c>
      <c r="M1" s="4" t="inlineStr">
        <is>
          <t>시군총_SMAX_MW</t>
        </is>
      </c>
      <c r="N1" s="4" t="inlineStr">
        <is>
          <t>인접_시군</t>
        </is>
      </c>
      <c r="O1" s="4" t="inlineStr">
        <is>
          <t>농지풍부_인접</t>
        </is>
      </c>
      <c r="P1" s="4" t="inlineStr">
        <is>
          <t>권장_정책</t>
        </is>
      </c>
      <c r="Q1" s="4" t="inlineStr">
        <is>
          <t>추진_메시지</t>
        </is>
      </c>
    </row>
    <row r="2">
      <c r="A2" s="4" t="inlineStr">
        <is>
          <t>충청남도</t>
        </is>
      </c>
      <c r="B2" s="4" t="inlineStr">
        <is>
          <t>당진</t>
        </is>
      </c>
      <c r="C2" s="4" t="inlineStr">
        <is>
          <t>3개</t>
        </is>
      </c>
      <c r="D2" s="4" t="inlineStr">
        <is>
          <t>11,420 GWh/년</t>
        </is>
      </c>
      <c r="E2" s="4" t="inlineStr">
        <is>
          <t>1/3개</t>
        </is>
      </c>
      <c r="F2" s="4" t="inlineStr">
        <is>
          <t>3.5 km</t>
        </is>
      </c>
      <c r="G2" s="4" t="inlineStr">
        <is>
          <t>3.5 km</t>
        </is>
      </c>
      <c r="H2" s="4" t="inlineStr">
        <is>
          <t>2개</t>
        </is>
      </c>
      <c r="I2" s="4" t="inlineStr">
        <is>
          <t>2/3개</t>
        </is>
      </c>
      <c r="J2" s="4" t="inlineStr">
        <is>
          <t>6.2 km</t>
        </is>
      </c>
      <c r="K2" s="4" t="inlineStr">
        <is>
          <t>5,666</t>
        </is>
      </c>
      <c r="L2" s="4" t="inlineStr">
        <is>
          <t>19,097</t>
        </is>
      </c>
      <c r="M2" s="4" t="inlineStr">
        <is>
          <t>19,248</t>
        </is>
      </c>
      <c r="N2" s="4" t="inlineStr">
        <is>
          <t>서산, 예산, 아산, 평택</t>
        </is>
      </c>
      <c r="O2" s="4" t="inlineStr">
        <is>
          <t>서산, 예산, 아산</t>
        </is>
      </c>
      <c r="P2" s="4" t="inlineStr">
        <is>
          <t>인접 시군 농지 협력 또는 분산에너지 특화지역 지정 필요</t>
        </is>
      </c>
      <c r="Q2" s="4" t="inlineStr">
        <is>
          <t>당진은(는) 시군 내 농지로 부족한 산단 있음. 인접 농지 풍부 시군(서산·예산)과 농지 공유 또는 분산에너지 특화지역 지정으로 추진 가능.</t>
        </is>
      </c>
    </row>
    <row r="3">
      <c r="A3" s="4" t="inlineStr">
        <is>
          <t>충청남도</t>
        </is>
      </c>
      <c r="B3" s="4" t="inlineStr">
        <is>
          <t>서산</t>
        </is>
      </c>
      <c r="C3" s="4" t="inlineStr">
        <is>
          <t>2개</t>
        </is>
      </c>
      <c r="D3" s="4" t="inlineStr">
        <is>
          <t>3,152 GWh/년</t>
        </is>
      </c>
      <c r="E3" s="4" t="inlineStr">
        <is>
          <t>1/2개</t>
        </is>
      </c>
      <c r="F3" s="4" t="inlineStr">
        <is>
          <t>5.0 km</t>
        </is>
      </c>
      <c r="G3" s="4" t="inlineStr">
        <is>
          <t>5.0 km</t>
        </is>
      </c>
      <c r="H3" s="4" t="inlineStr">
        <is>
          <t>1개</t>
        </is>
      </c>
      <c r="I3" s="4" t="inlineStr">
        <is>
          <t>2/2개</t>
        </is>
      </c>
      <c r="J3" s="4" t="inlineStr">
        <is>
          <t>6.0 km</t>
        </is>
      </c>
      <c r="K3" s="4" t="inlineStr">
        <is>
          <t>3,228</t>
        </is>
      </c>
      <c r="L3" s="4" t="inlineStr">
        <is>
          <t>9,586</t>
        </is>
      </c>
      <c r="M3" s="4" t="inlineStr">
        <is>
          <t>9,787</t>
        </is>
      </c>
      <c r="N3" s="4" t="inlineStr">
        <is>
          <t>당진, 예산, 홍성, 태안</t>
        </is>
      </c>
      <c r="O3" s="4" t="inlineStr">
        <is>
          <t>당진, 예산, 홍성</t>
        </is>
      </c>
      <c r="P3" s="4" t="inlineStr">
        <is>
          <t>영농형 특별법 시행 후 가능</t>
        </is>
      </c>
      <c r="Q3" s="4" t="inlineStr">
        <is>
          <t>서산은(는) 2026.5.7 통과된 영농형 태양광 특별법의 시행령 정비 후 모든 2개 산업단지 RE100 추진 가능. 농업진흥구역 재생에너지지구 지정 절차 마련 필요.</t>
        </is>
      </c>
    </row>
    <row r="4">
      <c r="A4" s="4" t="inlineStr">
        <is>
          <t>충청남도</t>
        </is>
      </c>
      <c r="B4" s="4" t="inlineStr">
        <is>
          <t>아산</t>
        </is>
      </c>
      <c r="C4" s="4" t="inlineStr">
        <is>
          <t>2개</t>
        </is>
      </c>
      <c r="D4" s="4" t="inlineStr">
        <is>
          <t>6,198 GWh/년</t>
        </is>
      </c>
      <c r="E4" s="4" t="inlineStr">
        <is>
          <t>1/2개</t>
        </is>
      </c>
      <c r="F4" s="4" t="inlineStr">
        <is>
          <t>6.0 km</t>
        </is>
      </c>
      <c r="G4" s="4" t="inlineStr">
        <is>
          <t>6.0 km</t>
        </is>
      </c>
      <c r="H4" s="4" t="inlineStr">
        <is>
          <t>1개</t>
        </is>
      </c>
      <c r="I4" s="4" t="inlineStr">
        <is>
          <t>2/2개</t>
        </is>
      </c>
      <c r="J4" s="4" t="inlineStr">
        <is>
          <t>7.2 km</t>
        </is>
      </c>
      <c r="K4" s="4" t="inlineStr">
        <is>
          <t>4,484</t>
        </is>
      </c>
      <c r="L4" s="4" t="inlineStr">
        <is>
          <t>11,271</t>
        </is>
      </c>
      <c r="M4" s="4" t="inlineStr">
        <is>
          <t>12,052</t>
        </is>
      </c>
      <c r="N4" s="4" t="inlineStr">
        <is>
          <t>천안서북, 천안동남, 당진, 예산, 평택</t>
        </is>
      </c>
      <c r="O4" s="4" t="inlineStr">
        <is>
          <t>천안서북, 당진, 예산</t>
        </is>
      </c>
      <c r="P4" s="4" t="inlineStr">
        <is>
          <t>영농형 특별법 시행 후 가능</t>
        </is>
      </c>
      <c r="Q4" s="4" t="inlineStr">
        <is>
          <t>아산은(는) 2026.5.7 통과된 영농형 태양광 특별법의 시행령 정비 후 모든 2개 산업단지 RE100 추진 가능. 농업진흥구역 재생에너지지구 지정 절차 마련 필요.</t>
        </is>
      </c>
    </row>
    <row r="5">
      <c r="A5" s="4" t="inlineStr">
        <is>
          <t>충청남도</t>
        </is>
      </c>
      <c r="B5" s="4" t="inlineStr">
        <is>
          <t>천안</t>
        </is>
      </c>
      <c r="C5" s="4" t="inlineStr">
        <is>
          <t>3개</t>
        </is>
      </c>
      <c r="D5" s="4" t="inlineStr">
        <is>
          <t>1,406 GWh/년</t>
        </is>
      </c>
      <c r="E5" s="4" t="inlineStr">
        <is>
          <t>3/3개</t>
        </is>
      </c>
      <c r="F5" s="4" t="inlineStr">
        <is>
          <t>4.0 km</t>
        </is>
      </c>
      <c r="G5" s="4" t="inlineStr">
        <is>
          <t>4.5 km</t>
        </is>
      </c>
      <c r="H5" s="4" t="inlineStr">
        <is>
          <t>0개</t>
        </is>
      </c>
      <c r="I5" s="4" t="inlineStr">
        <is>
          <t>3/3개</t>
        </is>
      </c>
      <c r="J5" s="4" t="inlineStr">
        <is>
          <t>3.5 km</t>
        </is>
      </c>
      <c r="K5" s="4" t="inlineStr">
        <is>
          <t>4,812</t>
        </is>
      </c>
      <c r="L5" s="4" t="inlineStr">
        <is>
          <t>9,490</t>
        </is>
      </c>
      <c r="M5" s="4" t="inlineStr">
        <is>
          <t>10,062</t>
        </is>
      </c>
      <c r="N5" s="4" t="inlineStr">
        <is>
          <t>아산, 공주, 세종, 평택, 안성</t>
        </is>
      </c>
      <c r="O5" s="4" t="inlineStr">
        <is>
          <t>아산, 안성, 공주</t>
        </is>
      </c>
      <c r="P5" s="4" t="inlineStr">
        <is>
          <t>정책 변경 불필요 (즉시 추진 가능)</t>
        </is>
      </c>
      <c r="Q5" s="4" t="inlineStr">
        <is>
          <t>천안시는 현재 법령만으로도 모든 3개 산업단지 RE100 즉시 추진 가능. 영농형 태양광 시범 사업 또는 분산에너지 특화지역 우선 지정 권장.</t>
        </is>
      </c>
    </row>
    <row r="6">
      <c r="A6" s="4" t="inlineStr">
        <is>
          <t>충청남도</t>
        </is>
      </c>
      <c r="B6" s="4" t="inlineStr">
        <is>
          <t>예산</t>
        </is>
      </c>
      <c r="C6" s="4" t="inlineStr">
        <is>
          <t>1개</t>
        </is>
      </c>
      <c r="D6" s="4" t="inlineStr">
        <is>
          <t>228 GWh/년</t>
        </is>
      </c>
      <c r="E6" s="4" t="inlineStr">
        <is>
          <t>1/1개</t>
        </is>
      </c>
      <c r="F6" s="4" t="inlineStr">
        <is>
          <t>6.5 km</t>
        </is>
      </c>
      <c r="G6" s="4" t="inlineStr">
        <is>
          <t>6.5 km</t>
        </is>
      </c>
      <c r="H6" s="4" t="inlineStr">
        <is>
          <t>0개</t>
        </is>
      </c>
      <c r="I6" s="4" t="inlineStr">
        <is>
          <t>1/1개</t>
        </is>
      </c>
      <c r="J6" s="4" t="inlineStr">
        <is>
          <t>4.5 km</t>
        </is>
      </c>
      <c r="K6" s="4" t="inlineStr">
        <is>
          <t>5,484</t>
        </is>
      </c>
      <c r="L6" s="4" t="inlineStr">
        <is>
          <t>17,872</t>
        </is>
      </c>
      <c r="M6" s="4" t="inlineStr">
        <is>
          <t>18,293</t>
        </is>
      </c>
      <c r="N6" s="4" t="inlineStr">
        <is>
          <t>당진, 아산, 홍성, 공주, 청양, 서산</t>
        </is>
      </c>
      <c r="O6" s="4" t="inlineStr">
        <is>
          <t>당진, 아산, 홍성</t>
        </is>
      </c>
      <c r="P6" s="4" t="inlineStr">
        <is>
          <t>정책 변경 불필요 (즉시 추진 가능)</t>
        </is>
      </c>
      <c r="Q6" s="4" t="inlineStr">
        <is>
          <t>예산은(는) 현재 법령만으로도 모든 1개 산업단지 RE100 즉시 추진 가능. 영농형 태양광 시범 사업 또는 분산에너지 특화지역 우선 지정 권장.</t>
        </is>
      </c>
    </row>
    <row r="7">
      <c r="A7" s="4" t="inlineStr">
        <is>
          <t>충청남도</t>
        </is>
      </c>
      <c r="B7" s="4" t="inlineStr">
        <is>
          <t>홍성</t>
        </is>
      </c>
      <c r="C7" s="4" t="inlineStr">
        <is>
          <t>1개</t>
        </is>
      </c>
      <c r="D7" s="4" t="inlineStr">
        <is>
          <t>206 GWh/년</t>
        </is>
      </c>
      <c r="E7" s="4" t="inlineStr">
        <is>
          <t>1/1개</t>
        </is>
      </c>
      <c r="F7" s="4" t="inlineStr">
        <is>
          <t>3.0 km</t>
        </is>
      </c>
      <c r="G7" s="4" t="inlineStr">
        <is>
          <t>3.0 km</t>
        </is>
      </c>
      <c r="H7" s="4" t="inlineStr">
        <is>
          <t>0개</t>
        </is>
      </c>
      <c r="I7" s="4" t="inlineStr">
        <is>
          <t>1/1개</t>
        </is>
      </c>
      <c r="J7" s="4" t="inlineStr">
        <is>
          <t>2.0 km</t>
        </is>
      </c>
      <c r="K7" s="4" t="inlineStr">
        <is>
          <t>4,405</t>
        </is>
      </c>
      <c r="L7" s="4" t="inlineStr">
        <is>
          <t>10,167</t>
        </is>
      </c>
      <c r="M7" s="4" t="inlineStr">
        <is>
          <t>10,514</t>
        </is>
      </c>
      <c r="N7" s="4" t="inlineStr">
        <is>
          <t>서산, 예산, 보령, 청양</t>
        </is>
      </c>
      <c r="O7" s="4" t="inlineStr">
        <is>
          <t>서산, 예산</t>
        </is>
      </c>
      <c r="P7" s="4" t="inlineStr">
        <is>
          <t>정책 변경 불필요 (즉시 추진 가능)</t>
        </is>
      </c>
      <c r="Q7" s="4" t="inlineStr">
        <is>
          <t>홍성은(는) 현재 법령만으로도 모든 1개 산업단지 RE100 즉시 추진 가능. 영농형 태양광 시범 사업 또는 분산에너지 특화지역 우선 지정 권장.</t>
        </is>
      </c>
    </row>
    <row r="8">
      <c r="A8" s="4" t="inlineStr">
        <is>
          <t>경기도</t>
        </is>
      </c>
      <c r="B8" s="4" t="inlineStr">
        <is>
          <t>화성</t>
        </is>
      </c>
      <c r="C8" s="4" t="inlineStr">
        <is>
          <t>7개</t>
        </is>
      </c>
      <c r="D8" s="4" t="inlineStr">
        <is>
          <t>2,208 GWh/년</t>
        </is>
      </c>
      <c r="E8" s="4" t="inlineStr">
        <is>
          <t>7/7개</t>
        </is>
      </c>
      <c r="F8" s="4" t="inlineStr">
        <is>
          <t>3.0 km</t>
        </is>
      </c>
      <c r="G8" s="4" t="inlineStr">
        <is>
          <t>6.0 km</t>
        </is>
      </c>
      <c r="H8" s="4" t="inlineStr">
        <is>
          <t>0개</t>
        </is>
      </c>
      <c r="I8" s="4" t="inlineStr">
        <is>
          <t>7/7개</t>
        </is>
      </c>
      <c r="J8" s="4" t="inlineStr">
        <is>
          <t>2.1 km</t>
        </is>
      </c>
      <c r="K8" s="4" t="inlineStr">
        <is>
          <t>6,368</t>
        </is>
      </c>
      <c r="L8" s="4" t="inlineStr">
        <is>
          <t>13,298</t>
        </is>
      </c>
      <c r="M8" s="4" t="inlineStr">
        <is>
          <t>14,055</t>
        </is>
      </c>
      <c r="N8" s="4" t="inlineStr">
        <is>
          <t>수원, 안산, 오산, 평택, 안성, 용인, 시흥</t>
        </is>
      </c>
      <c r="O8" s="4" t="inlineStr">
        <is>
          <t>평택, 안성</t>
        </is>
      </c>
      <c r="P8" s="4" t="inlineStr">
        <is>
          <t>정책 변경 불필요 (즉시 추진 가능)</t>
        </is>
      </c>
      <c r="Q8" s="4" t="inlineStr">
        <is>
          <t>화성은(는) 현재 법령만으로도 모든 7개 산업단지 RE100 즉시 추진 가능. 영농형 태양광 시범 사업 또는 분산에너지 특화지역 우선 지정 권장.</t>
        </is>
      </c>
    </row>
    <row r="9">
      <c r="A9" s="4" t="inlineStr">
        <is>
          <t>경기도</t>
        </is>
      </c>
      <c r="B9" s="4" t="inlineStr">
        <is>
          <t>평택</t>
        </is>
      </c>
      <c r="C9" s="4" t="inlineStr">
        <is>
          <t>8개</t>
        </is>
      </c>
      <c r="D9" s="4" t="inlineStr">
        <is>
          <t>5,125 GWh/년</t>
        </is>
      </c>
      <c r="E9" s="4" t="inlineStr">
        <is>
          <t>7/8개</t>
        </is>
      </c>
      <c r="F9" s="4" t="inlineStr">
        <is>
          <t>3.8 km</t>
        </is>
      </c>
      <c r="G9" s="4" t="inlineStr">
        <is>
          <t>5.0 km</t>
        </is>
      </c>
      <c r="H9" s="4" t="inlineStr">
        <is>
          <t>1개</t>
        </is>
      </c>
      <c r="I9" s="4" t="inlineStr">
        <is>
          <t>8/8개</t>
        </is>
      </c>
      <c r="J9" s="4" t="inlineStr">
        <is>
          <t>2.9 km</t>
        </is>
      </c>
      <c r="K9" s="4" t="inlineStr">
        <is>
          <t>3,433</t>
        </is>
      </c>
      <c r="L9" s="4" t="inlineStr">
        <is>
          <t>11,954</t>
        </is>
      </c>
      <c r="M9" s="4" t="inlineStr">
        <is>
          <t>12,812</t>
        </is>
      </c>
      <c r="N9" s="4" t="inlineStr">
        <is>
          <t>화성, 안성, 용인, 오산, 아산, 당진</t>
        </is>
      </c>
      <c r="O9" s="4" t="inlineStr">
        <is>
          <t>화성, 안성, 아산, 당진</t>
        </is>
      </c>
      <c r="P9" s="4" t="inlineStr">
        <is>
          <t>영농형 특별법 시행 후 가능</t>
        </is>
      </c>
      <c r="Q9" s="4" t="inlineStr">
        <is>
          <t>평택은(는) 2026.5.7 통과된 영농형 태양광 특별법의 시행령 정비 후 모든 8개 산업단지 RE100 추진 가능. 농업진흥구역 재생에너지지구 지정 절차 마련 필요.</t>
        </is>
      </c>
    </row>
    <row r="10">
      <c r="A10" s="4" t="inlineStr">
        <is>
          <t>경기도</t>
        </is>
      </c>
      <c r="B10" s="4" t="inlineStr">
        <is>
          <t>용인</t>
        </is>
      </c>
      <c r="C10" s="4" t="inlineStr">
        <is>
          <t>1개</t>
        </is>
      </c>
      <c r="D10" s="4" t="inlineStr">
        <is>
          <t>4,362 GWh/년</t>
        </is>
      </c>
      <c r="E10" s="4" t="inlineStr">
        <is>
          <t>0/1개</t>
        </is>
      </c>
      <c r="F10" s="4" t="inlineStr">
        <is>
          <t>달성 불가</t>
        </is>
      </c>
      <c r="G10" s="4" t="inlineStr">
        <is>
          <t>-</t>
        </is>
      </c>
      <c r="H10" s="4" t="inlineStr">
        <is>
          <t>1개</t>
        </is>
      </c>
      <c r="I10" s="4" t="inlineStr">
        <is>
          <t>0/1개</t>
        </is>
      </c>
      <c r="J10" s="4" t="inlineStr">
        <is>
          <t>달성 불가</t>
        </is>
      </c>
      <c r="K10" s="4" t="inlineStr">
        <is>
          <t>171</t>
        </is>
      </c>
      <c r="L10" s="4" t="inlineStr">
        <is>
          <t>188</t>
        </is>
      </c>
      <c r="M10" s="4" t="inlineStr">
        <is>
          <t>267</t>
        </is>
      </c>
      <c r="N10" s="4" t="inlineStr">
        <is>
          <t>수원, 성남, 광주, 이천, 안성, 평택, 화성</t>
        </is>
      </c>
      <c r="O10" s="4" t="inlineStr">
        <is>
          <t>이천, 안성, 평택, 화성</t>
        </is>
      </c>
      <c r="P10" s="4" t="inlineStr">
        <is>
          <t>인접 시군 농지 협력 또는 분산에너지 특화지역 지정 필요</t>
        </is>
      </c>
      <c r="Q10" s="4" t="inlineStr">
        <is>
          <t>용인은(는) 시군 내 농지로 부족한 산단 있음. 인접 농지 풍부 시군(이천·안성)과 농지 공유 또는 분산에너지 특화지역 지정으로 추진 가능.</t>
        </is>
      </c>
    </row>
    <row r="11">
      <c r="A11" s="4" t="inlineStr">
        <is>
          <t>경기도</t>
        </is>
      </c>
      <c r="B11" s="4" t="inlineStr">
        <is>
          <t>안산</t>
        </is>
      </c>
      <c r="C11" s="4" t="inlineStr">
        <is>
          <t>1개</t>
        </is>
      </c>
      <c r="D11" s="4" t="inlineStr">
        <is>
          <t>4,121 GWh/년</t>
        </is>
      </c>
      <c r="E11" s="4" t="inlineStr">
        <is>
          <t>0/1개</t>
        </is>
      </c>
      <c r="F11" s="4" t="inlineStr">
        <is>
          <t>달성 불가</t>
        </is>
      </c>
      <c r="G11" s="4" t="inlineStr">
        <is>
          <t>-</t>
        </is>
      </c>
      <c r="H11" s="4" t="inlineStr">
        <is>
          <t>1개</t>
        </is>
      </c>
      <c r="I11" s="4" t="inlineStr">
        <is>
          <t>0/1개</t>
        </is>
      </c>
      <c r="J11" s="4" t="inlineStr">
        <is>
          <t>달성 불가</t>
        </is>
      </c>
      <c r="K11" s="4" t="inlineStr">
        <is>
          <t>256</t>
        </is>
      </c>
      <c r="L11" s="4" t="inlineStr">
        <is>
          <t>443</t>
        </is>
      </c>
      <c r="M11" s="4" t="inlineStr">
        <is>
          <t>562</t>
        </is>
      </c>
      <c r="N11" s="4" t="inlineStr">
        <is>
          <t>시흥, 화성, 수원</t>
        </is>
      </c>
      <c r="O11" s="4" t="inlineStr">
        <is>
          <t>화성</t>
        </is>
      </c>
      <c r="P11" s="4" t="inlineStr">
        <is>
          <t>인접 시군 농지 협력 또는 분산에너지 특화지역 지정 필요</t>
        </is>
      </c>
      <c r="Q11" s="4" t="inlineStr">
        <is>
          <t>안산은(는) 시군 내 농지로 부족한 산단 있음. 인접 농지 풍부 시군(화성)과 농지 공유 또는 분산에너지 특화지역 지정으로 추진 가능.</t>
        </is>
      </c>
    </row>
    <row r="12">
      <c r="A12" s="4" t="inlineStr">
        <is>
          <t>경기도</t>
        </is>
      </c>
      <c r="B12" s="4" t="inlineStr">
        <is>
          <t>시흥</t>
        </is>
      </c>
      <c r="C12" s="4" t="inlineStr">
        <is>
          <t>2개</t>
        </is>
      </c>
      <c r="D12" s="4" t="inlineStr">
        <is>
          <t>6,207 GWh/년</t>
        </is>
      </c>
      <c r="E12" s="4" t="inlineStr">
        <is>
          <t>0/2개</t>
        </is>
      </c>
      <c r="F12" s="4" t="inlineStr">
        <is>
          <t>달성 불가</t>
        </is>
      </c>
      <c r="G12" s="4" t="inlineStr">
        <is>
          <t>-</t>
        </is>
      </c>
      <c r="H12" s="4" t="inlineStr">
        <is>
          <t>2개</t>
        </is>
      </c>
      <c r="I12" s="4" t="inlineStr">
        <is>
          <t>0/2개</t>
        </is>
      </c>
      <c r="J12" s="4" t="inlineStr">
        <is>
          <t>달성 불가</t>
        </is>
      </c>
      <c r="K12" s="4" t="inlineStr">
        <is>
          <t>1,451</t>
        </is>
      </c>
      <c r="L12" s="4" t="inlineStr">
        <is>
          <t>1,509</t>
        </is>
      </c>
      <c r="M12" s="4" t="inlineStr">
        <is>
          <t>1,646</t>
        </is>
      </c>
      <c r="N12" s="4" t="inlineStr">
        <is>
          <t>안산, 화성, 광명, 부천, 안양, 군포, 김포</t>
        </is>
      </c>
      <c r="O12" s="4" t="inlineStr">
        <is>
          <t>화성, 김포</t>
        </is>
      </c>
      <c r="P12" s="4" t="inlineStr">
        <is>
          <t>인접 시군 농지 협력 또는 분산에너지 특화지역 지정 필요</t>
        </is>
      </c>
      <c r="Q12" s="4" t="inlineStr">
        <is>
          <t>시흥은(는) 시군 내 농지로 부족한 산단 있음. 인접 농지 풍부 시군(화성·김포)과 농지 공유 또는 분산에너지 특화지역 지정으로 추진 가능.</t>
        </is>
      </c>
    </row>
    <row r="13">
      <c r="A13" s="4" t="inlineStr">
        <is>
          <t>경기도</t>
        </is>
      </c>
      <c r="B13" s="4" t="inlineStr">
        <is>
          <t>이천</t>
        </is>
      </c>
      <c r="C13" s="4" t="inlineStr">
        <is>
          <t>2개</t>
        </is>
      </c>
      <c r="D13" s="4" t="inlineStr">
        <is>
          <t>1,929 GWh/년</t>
        </is>
      </c>
      <c r="E13" s="4" t="inlineStr">
        <is>
          <t>2/2개</t>
        </is>
      </c>
      <c r="F13" s="4" t="inlineStr">
        <is>
          <t>5.0 km</t>
        </is>
      </c>
      <c r="G13" s="4" t="inlineStr">
        <is>
          <t>7.0 km</t>
        </is>
      </c>
      <c r="H13" s="4" t="inlineStr">
        <is>
          <t>0개</t>
        </is>
      </c>
      <c r="I13" s="4" t="inlineStr">
        <is>
          <t>2/2개</t>
        </is>
      </c>
      <c r="J13" s="4" t="inlineStr">
        <is>
          <t>3.8 km</t>
        </is>
      </c>
      <c r="K13" s="4" t="inlineStr">
        <is>
          <t>5,058</t>
        </is>
      </c>
      <c r="L13" s="4" t="inlineStr">
        <is>
          <t>11,262</t>
        </is>
      </c>
      <c r="M13" s="4" t="inlineStr">
        <is>
          <t>11,630</t>
        </is>
      </c>
      <c r="N13" s="4" t="inlineStr">
        <is>
          <t>여주, 광주, 용인, 안성, 음성</t>
        </is>
      </c>
      <c r="O13" s="4" t="inlineStr">
        <is>
          <t>여주, 안성</t>
        </is>
      </c>
      <c r="P13" s="4" t="inlineStr">
        <is>
          <t>정책 변경 불필요 (즉시 추진 가능)</t>
        </is>
      </c>
      <c r="Q13" s="4" t="inlineStr">
        <is>
          <t>이천은(는) 현재 법령만으로도 모든 2개 산업단지 RE100 즉시 추진 가능. 영농형 태양광 시범 사업 또는 분산에너지 특화지역 우선 지정 권장.</t>
        </is>
      </c>
    </row>
    <row r="14">
      <c r="A14" s="4" t="inlineStr">
        <is>
          <t>경기도</t>
        </is>
      </c>
      <c r="B14" s="4" t="inlineStr">
        <is>
          <t>파주</t>
        </is>
      </c>
      <c r="C14" s="4" t="inlineStr">
        <is>
          <t>3개</t>
        </is>
      </c>
      <c r="D14" s="4" t="inlineStr">
        <is>
          <t>1,692 GWh/년</t>
        </is>
      </c>
      <c r="E14" s="4" t="inlineStr">
        <is>
          <t>1/3개</t>
        </is>
      </c>
      <c r="F14" s="4" t="inlineStr">
        <is>
          <t>5.0 km</t>
        </is>
      </c>
      <c r="G14" s="4" t="inlineStr">
        <is>
          <t>5.0 km</t>
        </is>
      </c>
      <c r="H14" s="4" t="inlineStr">
        <is>
          <t>2개</t>
        </is>
      </c>
      <c r="I14" s="4" t="inlineStr">
        <is>
          <t>3/3개</t>
        </is>
      </c>
      <c r="J14" s="4" t="inlineStr">
        <is>
          <t>3.7 km</t>
        </is>
      </c>
      <c r="K14" s="4" t="inlineStr">
        <is>
          <t>2,060</t>
        </is>
      </c>
      <c r="L14" s="4" t="inlineStr">
        <is>
          <t>3,401</t>
        </is>
      </c>
      <c r="M14" s="4" t="inlineStr">
        <is>
          <t>12,661</t>
        </is>
      </c>
      <c r="N14" s="4" t="inlineStr">
        <is>
          <t>고양, 양주, 연천, 김포</t>
        </is>
      </c>
      <c r="O14" s="4" t="inlineStr">
        <is>
          <t>김포, 연천</t>
        </is>
      </c>
      <c r="P14" s="4" t="inlineStr">
        <is>
          <t>영농형 특별법 시행 후 가능</t>
        </is>
      </c>
      <c r="Q14" s="4" t="inlineStr">
        <is>
          <t>파주은(는) 2026.5.7 통과된 영농형 태양광 특별법의 시행령 정비 후 모든 3개 산업단지 RE100 추진 가능. 농업진흥구역 재생에너지지구 지정 절차 마련 필요.</t>
        </is>
      </c>
    </row>
    <row r="15">
      <c r="A15" s="4" t="inlineStr">
        <is>
          <t>경기도</t>
        </is>
      </c>
      <c r="B15" s="4" t="inlineStr">
        <is>
          <t>김포</t>
        </is>
      </c>
      <c r="C15" s="4" t="inlineStr">
        <is>
          <t>3개</t>
        </is>
      </c>
      <c r="D15" s="4" t="inlineStr">
        <is>
          <t>904 GWh/년</t>
        </is>
      </c>
      <c r="E15" s="4" t="inlineStr">
        <is>
          <t>3/3개</t>
        </is>
      </c>
      <c r="F15" s="4" t="inlineStr">
        <is>
          <t>8.0 km</t>
        </is>
      </c>
      <c r="G15" s="4" t="inlineStr">
        <is>
          <t>10.0 km</t>
        </is>
      </c>
      <c r="H15" s="4" t="inlineStr">
        <is>
          <t>0개</t>
        </is>
      </c>
      <c r="I15" s="4" t="inlineStr">
        <is>
          <t>3/3개</t>
        </is>
      </c>
      <c r="J15" s="4" t="inlineStr">
        <is>
          <t>2.3 km</t>
        </is>
      </c>
      <c r="K15" s="4" t="inlineStr">
        <is>
          <t>878</t>
        </is>
      </c>
      <c r="L15" s="4" t="inlineStr">
        <is>
          <t>2,501</t>
        </is>
      </c>
      <c r="M15" s="4" t="inlineStr">
        <is>
          <t>5,301</t>
        </is>
      </c>
      <c r="N15" s="4" t="inlineStr">
        <is>
          <t>파주, 고양, 인천, 시흥</t>
        </is>
      </c>
      <c r="O15" s="4" t="inlineStr">
        <is>
          <t>파주</t>
        </is>
      </c>
      <c r="P15" s="4" t="inlineStr">
        <is>
          <t>정책 변경 불필요 (즉시 추진 가능)</t>
        </is>
      </c>
      <c r="Q15" s="4" t="inlineStr">
        <is>
          <t>김포은(는) 현재 법령만으로도 모든 3개 산업단지 RE100 즉시 추진 가능. 영농형 태양광 시범 사업 또는 분산에너지 특화지역 우선 지정 권장.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6.xml><?xml version="1.0" encoding="utf-8"?>
<worksheet xmlns="http://schemas.openxmlformats.org/spreadsheetml/2006/main">
  <sheetPr codeName="Sheet15">
    <outlinePr summaryBelow="1" summaryRight="1"/>
    <pageSetUpPr/>
  </sheetPr>
  <dimension ref="A1:F15"/>
  <sheetViews>
    <sheetView topLeftCell="A1" zoomScaleNormal="100" zoomScaleSheetLayoutView="75" workbookViewId="0">
      <selection activeCell="M20" activeCellId="0" sqref="M20:M20"/>
    </sheetView>
  </sheetViews>
  <sheetFormatPr baseColWidth="8" defaultColWidth="9.00390625" defaultRowHeight="16.4"/>
  <sheetData>
    <row r="1">
      <c r="A1" s="4" t="inlineStr">
        <is>
          <t>시도</t>
        </is>
      </c>
      <c r="B1" s="4" t="inlineStr">
        <is>
          <t>시군</t>
        </is>
      </c>
      <c r="C1" s="4" t="inlineStr">
        <is>
          <t>산단_수</t>
        </is>
      </c>
      <c r="D1" s="4" t="inlineStr">
        <is>
          <t>권장_정책</t>
        </is>
      </c>
      <c r="E1" s="4" t="inlineStr">
        <is>
          <t>농지풍부_인접</t>
        </is>
      </c>
      <c r="F1" s="4" t="inlineStr">
        <is>
          <t>추진_메시지</t>
        </is>
      </c>
    </row>
    <row r="2">
      <c r="A2" s="4" t="inlineStr">
        <is>
          <t>충청남도</t>
        </is>
      </c>
      <c r="B2" s="4" t="inlineStr">
        <is>
          <t>당진</t>
        </is>
      </c>
      <c r="C2" s="4" t="inlineStr">
        <is>
          <t>3개</t>
        </is>
      </c>
      <c r="D2" s="4" t="inlineStr">
        <is>
          <t>인접 시군 농지 협력 또는 분산에너지 특화지역 지정 필요</t>
        </is>
      </c>
      <c r="E2" s="4" t="inlineStr">
        <is>
          <t>서산, 예산, 아산</t>
        </is>
      </c>
      <c r="F2" s="4" t="inlineStr">
        <is>
          <t>당진은(는) 시군 내 농지로 부족한 산단 있음. 인접 농지 풍부 시군(서산·예산)과 농지 공유 또는 분산에너지 특화지역 지정으로 추진 가능.</t>
        </is>
      </c>
    </row>
    <row r="3">
      <c r="A3" s="4" t="inlineStr">
        <is>
          <t>충청남도</t>
        </is>
      </c>
      <c r="B3" s="4" t="inlineStr">
        <is>
          <t>서산</t>
        </is>
      </c>
      <c r="C3" s="4" t="inlineStr">
        <is>
          <t>2개</t>
        </is>
      </c>
      <c r="D3" s="4" t="inlineStr">
        <is>
          <t>영농형 특별법 시행 후 가능</t>
        </is>
      </c>
      <c r="E3" s="4" t="inlineStr">
        <is>
          <t>당진, 예산, 홍성</t>
        </is>
      </c>
      <c r="F3" s="4" t="inlineStr">
        <is>
          <t>서산은(는) 2026.5.7 통과된 영농형 태양광 특별법의 시행령 정비 후 모든 2개 산업단지 RE100 추진 가능. 농업진흥구역 재생에너지지구 지정 절차 마련 필요.</t>
        </is>
      </c>
    </row>
    <row r="4">
      <c r="A4" s="4" t="inlineStr">
        <is>
          <t>충청남도</t>
        </is>
      </c>
      <c r="B4" s="4" t="inlineStr">
        <is>
          <t>아산</t>
        </is>
      </c>
      <c r="C4" s="4" t="inlineStr">
        <is>
          <t>2개</t>
        </is>
      </c>
      <c r="D4" s="4" t="inlineStr">
        <is>
          <t>영농형 특별법 시행 후 가능</t>
        </is>
      </c>
      <c r="E4" s="4" t="inlineStr">
        <is>
          <t>천안서북, 당진, 예산</t>
        </is>
      </c>
      <c r="F4" s="4" t="inlineStr">
        <is>
          <t>아산은(는) 2026.5.7 통과된 영농형 태양광 특별법의 시행령 정비 후 모든 2개 산업단지 RE100 추진 가능. 농업진흥구역 재생에너지지구 지정 절차 마련 필요.</t>
        </is>
      </c>
    </row>
    <row r="5">
      <c r="A5" s="4" t="inlineStr">
        <is>
          <t>충청남도</t>
        </is>
      </c>
      <c r="B5" s="4" t="inlineStr">
        <is>
          <t>천안</t>
        </is>
      </c>
      <c r="C5" s="4" t="inlineStr">
        <is>
          <t>3개</t>
        </is>
      </c>
      <c r="D5" s="4" t="inlineStr">
        <is>
          <t>정책 변경 불필요 (즉시 추진 가능)</t>
        </is>
      </c>
      <c r="E5" s="4" t="inlineStr">
        <is>
          <t>아산, 안성, 공주</t>
        </is>
      </c>
      <c r="F5" s="4" t="inlineStr">
        <is>
          <t>천안시는 현재 법령만으로도 모든 3개 산업단지 RE100 즉시 추진 가능. 영농형 태양광 시범 사업 또는 분산에너지 특화지역 우선 지정 권장.</t>
        </is>
      </c>
    </row>
    <row r="6">
      <c r="A6" s="4" t="inlineStr">
        <is>
          <t>충청남도</t>
        </is>
      </c>
      <c r="B6" s="4" t="inlineStr">
        <is>
          <t>예산</t>
        </is>
      </c>
      <c r="C6" s="4" t="inlineStr">
        <is>
          <t>1개</t>
        </is>
      </c>
      <c r="D6" s="4" t="inlineStr">
        <is>
          <t>정책 변경 불필요 (즉시 추진 가능)</t>
        </is>
      </c>
      <c r="E6" s="4" t="inlineStr">
        <is>
          <t>당진, 아산, 홍성</t>
        </is>
      </c>
      <c r="F6" s="4" t="inlineStr">
        <is>
          <t>예산은(는) 현재 법령만으로도 모든 1개 산업단지 RE100 즉시 추진 가능. 영농형 태양광 시범 사업 또는 분산에너지 특화지역 우선 지정 권장.</t>
        </is>
      </c>
    </row>
    <row r="7">
      <c r="A7" s="4" t="inlineStr">
        <is>
          <t>충청남도</t>
        </is>
      </c>
      <c r="B7" s="4" t="inlineStr">
        <is>
          <t>홍성</t>
        </is>
      </c>
      <c r="C7" s="4" t="inlineStr">
        <is>
          <t>1개</t>
        </is>
      </c>
      <c r="D7" s="4" t="inlineStr">
        <is>
          <t>정책 변경 불필요 (즉시 추진 가능)</t>
        </is>
      </c>
      <c r="E7" s="4" t="inlineStr">
        <is>
          <t>서산, 예산</t>
        </is>
      </c>
      <c r="F7" s="4" t="inlineStr">
        <is>
          <t>홍성은(는) 현재 법령만으로도 모든 1개 산업단지 RE100 즉시 추진 가능. 영농형 태양광 시범 사업 또는 분산에너지 특화지역 우선 지정 권장.</t>
        </is>
      </c>
    </row>
    <row r="8">
      <c r="A8" s="4" t="inlineStr">
        <is>
          <t>경기도</t>
        </is>
      </c>
      <c r="B8" s="4" t="inlineStr">
        <is>
          <t>화성</t>
        </is>
      </c>
      <c r="C8" s="4" t="inlineStr">
        <is>
          <t>7개</t>
        </is>
      </c>
      <c r="D8" s="4" t="inlineStr">
        <is>
          <t>정책 변경 불필요 (즉시 추진 가능)</t>
        </is>
      </c>
      <c r="E8" s="4" t="inlineStr">
        <is>
          <t>평택, 안성</t>
        </is>
      </c>
      <c r="F8" s="4" t="inlineStr">
        <is>
          <t>화성은(는) 현재 법령만으로도 모든 7개 산업단지 RE100 즉시 추진 가능. 영농형 태양광 시범 사업 또는 분산에너지 특화지역 우선 지정 권장.</t>
        </is>
      </c>
    </row>
    <row r="9">
      <c r="A9" s="4" t="inlineStr">
        <is>
          <t>경기도</t>
        </is>
      </c>
      <c r="B9" s="4" t="inlineStr">
        <is>
          <t>평택</t>
        </is>
      </c>
      <c r="C9" s="4" t="inlineStr">
        <is>
          <t>8개</t>
        </is>
      </c>
      <c r="D9" s="4" t="inlineStr">
        <is>
          <t>영농형 특별법 시행 후 가능</t>
        </is>
      </c>
      <c r="E9" s="4" t="inlineStr">
        <is>
          <t>화성, 안성, 아산, 당진</t>
        </is>
      </c>
      <c r="F9" s="4" t="inlineStr">
        <is>
          <t>평택은(는) 2026.5.7 통과된 영농형 태양광 특별법의 시행령 정비 후 모든 8개 산업단지 RE100 추진 가능. 농업진흥구역 재생에너지지구 지정 절차 마련 필요.</t>
        </is>
      </c>
    </row>
    <row r="10">
      <c r="A10" s="4" t="inlineStr">
        <is>
          <t>경기도</t>
        </is>
      </c>
      <c r="B10" s="4" t="inlineStr">
        <is>
          <t>용인</t>
        </is>
      </c>
      <c r="C10" s="4" t="inlineStr">
        <is>
          <t>1개</t>
        </is>
      </c>
      <c r="D10" s="4" t="inlineStr">
        <is>
          <t>인접 시군 농지 협력 또는 분산에너지 특화지역 지정 필요</t>
        </is>
      </c>
      <c r="E10" s="4" t="inlineStr">
        <is>
          <t>이천, 안성, 평택, 화성</t>
        </is>
      </c>
      <c r="F10" s="4" t="inlineStr">
        <is>
          <t>용인은(는) 시군 내 농지로 부족한 산단 있음. 인접 농지 풍부 시군(이천·안성)과 농지 공유 또는 분산에너지 특화지역 지정으로 추진 가능.</t>
        </is>
      </c>
    </row>
    <row r="11">
      <c r="A11" s="4" t="inlineStr">
        <is>
          <t>경기도</t>
        </is>
      </c>
      <c r="B11" s="4" t="inlineStr">
        <is>
          <t>안산</t>
        </is>
      </c>
      <c r="C11" s="4" t="inlineStr">
        <is>
          <t>1개</t>
        </is>
      </c>
      <c r="D11" s="4" t="inlineStr">
        <is>
          <t>인접 시군 농지 협력 또는 분산에너지 특화지역 지정 필요</t>
        </is>
      </c>
      <c r="E11" s="4" t="inlineStr">
        <is>
          <t>화성</t>
        </is>
      </c>
      <c r="F11" s="4" t="inlineStr">
        <is>
          <t>안산은(는) 시군 내 농지로 부족한 산단 있음. 인접 농지 풍부 시군(화성)과 농지 공유 또는 분산에너지 특화지역 지정으로 추진 가능.</t>
        </is>
      </c>
    </row>
    <row r="12">
      <c r="A12" s="4" t="inlineStr">
        <is>
          <t>경기도</t>
        </is>
      </c>
      <c r="B12" s="4" t="inlineStr">
        <is>
          <t>시흥</t>
        </is>
      </c>
      <c r="C12" s="4" t="inlineStr">
        <is>
          <t>2개</t>
        </is>
      </c>
      <c r="D12" s="4" t="inlineStr">
        <is>
          <t>인접 시군 농지 협력 또는 분산에너지 특화지역 지정 필요</t>
        </is>
      </c>
      <c r="E12" s="4" t="inlineStr">
        <is>
          <t>화성, 김포</t>
        </is>
      </c>
      <c r="F12" s="4" t="inlineStr">
        <is>
          <t>시흥은(는) 시군 내 농지로 부족한 산단 있음. 인접 농지 풍부 시군(화성·김포)과 농지 공유 또는 분산에너지 특화지역 지정으로 추진 가능.</t>
        </is>
      </c>
    </row>
    <row r="13">
      <c r="A13" s="4" t="inlineStr">
        <is>
          <t>경기도</t>
        </is>
      </c>
      <c r="B13" s="4" t="inlineStr">
        <is>
          <t>이천</t>
        </is>
      </c>
      <c r="C13" s="4" t="inlineStr">
        <is>
          <t>2개</t>
        </is>
      </c>
      <c r="D13" s="4" t="inlineStr">
        <is>
          <t>정책 변경 불필요 (즉시 추진 가능)</t>
        </is>
      </c>
      <c r="E13" s="4" t="inlineStr">
        <is>
          <t>여주, 안성</t>
        </is>
      </c>
      <c r="F13" s="4" t="inlineStr">
        <is>
          <t>이천은(는) 현재 법령만으로도 모든 2개 산업단지 RE100 즉시 추진 가능. 영농형 태양광 시범 사업 또는 분산에너지 특화지역 우선 지정 권장.</t>
        </is>
      </c>
    </row>
    <row r="14">
      <c r="A14" s="4" t="inlineStr">
        <is>
          <t>경기도</t>
        </is>
      </c>
      <c r="B14" s="4" t="inlineStr">
        <is>
          <t>파주</t>
        </is>
      </c>
      <c r="C14" s="4" t="inlineStr">
        <is>
          <t>3개</t>
        </is>
      </c>
      <c r="D14" s="4" t="inlineStr">
        <is>
          <t>영농형 특별법 시행 후 가능</t>
        </is>
      </c>
      <c r="E14" s="4" t="inlineStr">
        <is>
          <t>김포, 연천</t>
        </is>
      </c>
      <c r="F14" s="4" t="inlineStr">
        <is>
          <t>파주은(는) 2026.5.7 통과된 영농형 태양광 특별법의 시행령 정비 후 모든 3개 산업단지 RE100 추진 가능. 농업진흥구역 재생에너지지구 지정 절차 마련 필요.</t>
        </is>
      </c>
    </row>
    <row r="15">
      <c r="A15" s="4" t="inlineStr">
        <is>
          <t>경기도</t>
        </is>
      </c>
      <c r="B15" s="4" t="inlineStr">
        <is>
          <t>김포</t>
        </is>
      </c>
      <c r="C15" s="4" t="inlineStr">
        <is>
          <t>3개</t>
        </is>
      </c>
      <c r="D15" s="4" t="inlineStr">
        <is>
          <t>정책 변경 불필요 (즉시 추진 가능)</t>
        </is>
      </c>
      <c r="E15" s="4" t="inlineStr">
        <is>
          <t>파주</t>
        </is>
      </c>
      <c r="F15" s="4" t="inlineStr">
        <is>
          <t>김포은(는) 현재 법령만으로도 모든 3개 산업단지 RE100 즉시 추진 가능. 영농형 태양광 시범 사업 또는 분산에너지 특화지역 우선 지정 권장.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7.xml><?xml version="1.0" encoding="utf-8"?>
<worksheet xmlns="http://schemas.openxmlformats.org/spreadsheetml/2006/main">
  <sheetPr codeName="Sheet16">
    <outlinePr summaryBelow="1" summaryRight="1"/>
    <pageSetUpPr/>
  </sheetPr>
  <dimension ref="A1:D15"/>
  <sheetViews>
    <sheetView topLeftCell="A1" zoomScaleNormal="100" zoomScaleSheetLayoutView="75" workbookViewId="0">
      <selection activeCell="A1" activeCellId="0" sqref="A1:A1"/>
    </sheetView>
  </sheetViews>
  <sheetFormatPr baseColWidth="8" defaultColWidth="9.00390625" defaultRowHeight="16.4"/>
  <sheetData>
    <row r="1">
      <c r="A1" s="4" t="inlineStr">
        <is>
          <t>시군</t>
        </is>
      </c>
      <c r="B1" s="4" t="inlineStr">
        <is>
          <t>인접_시군</t>
        </is>
      </c>
      <c r="C1" s="4" t="inlineStr">
        <is>
          <t>농지풍부_인접</t>
        </is>
      </c>
      <c r="D1" s="4" t="inlineStr">
        <is>
          <t>비고</t>
        </is>
      </c>
    </row>
    <row r="2">
      <c r="A2" s="4" t="inlineStr">
        <is>
          <t>당진</t>
        </is>
      </c>
      <c r="B2" s="4" t="inlineStr">
        <is>
          <t>서산, 예산, 아산, 평택</t>
        </is>
      </c>
      <c r="C2" s="4" t="inlineStr">
        <is>
          <t>서산, 예산, 아산</t>
        </is>
      </c>
      <c r="D2" s="4" t="inlineStr">
        <is>
          <t>충남 북서부</t>
        </is>
      </c>
    </row>
    <row r="3">
      <c r="A3" s="4" t="inlineStr">
        <is>
          <t>서산</t>
        </is>
      </c>
      <c r="B3" s="4" t="inlineStr">
        <is>
          <t>당진, 예산, 홍성, 태안</t>
        </is>
      </c>
      <c r="C3" s="4" t="inlineStr">
        <is>
          <t>당진, 예산, 홍성</t>
        </is>
      </c>
      <c r="D3" s="4" t="inlineStr">
        <is>
          <t>충남 서부</t>
        </is>
      </c>
    </row>
    <row r="4">
      <c r="A4" s="4" t="inlineStr">
        <is>
          <t>아산</t>
        </is>
      </c>
      <c r="B4" s="4" t="inlineStr">
        <is>
          <t>천안시, 당진, 예산, 평택</t>
        </is>
      </c>
      <c r="C4" s="4" t="inlineStr">
        <is>
          <t>천안시, 당진, 예산</t>
        </is>
      </c>
      <c r="D4" s="4" t="inlineStr">
        <is>
          <t>충남 북부</t>
        </is>
      </c>
    </row>
    <row r="5">
      <c r="A5" s="4" t="inlineStr">
        <is>
          <t>천안시</t>
        </is>
      </c>
      <c r="B5" s="4" t="inlineStr">
        <is>
          <t>아산, 공주, 세종, 평택, 안성</t>
        </is>
      </c>
      <c r="C5" s="4" t="inlineStr">
        <is>
          <t>아산, 안성, 공주</t>
        </is>
      </c>
      <c r="D5" s="4" t="inlineStr">
        <is>
          <t>충남 북동부 (서북+동남 통합)</t>
        </is>
      </c>
    </row>
    <row r="6">
      <c r="A6" s="4" t="inlineStr">
        <is>
          <t>예산</t>
        </is>
      </c>
      <c r="B6" s="4" t="inlineStr">
        <is>
          <t>당진, 아산, 홍성, 공주, 청양, 서산</t>
        </is>
      </c>
      <c r="C6" s="4" t="inlineStr">
        <is>
          <t>당진, 아산, 홍성</t>
        </is>
      </c>
      <c r="D6" s="4" t="inlineStr">
        <is>
          <t>충남 중심부</t>
        </is>
      </c>
    </row>
    <row r="7">
      <c r="A7" s="4" t="inlineStr">
        <is>
          <t>홍성</t>
        </is>
      </c>
      <c r="B7" s="4" t="inlineStr">
        <is>
          <t>서산, 예산, 보령, 청양</t>
        </is>
      </c>
      <c r="C7" s="4" t="inlineStr">
        <is>
          <t>서산, 예산</t>
        </is>
      </c>
      <c r="D7" s="4" t="inlineStr">
        <is>
          <t>충남 도청 소재지</t>
        </is>
      </c>
    </row>
    <row r="8">
      <c r="A8" s="4" t="inlineStr">
        <is>
          <t>화성</t>
        </is>
      </c>
      <c r="B8" s="4" t="inlineStr">
        <is>
          <t>수원, 안산, 오산, 평택, 안성, 용인, 시흥</t>
        </is>
      </c>
      <c r="C8" s="4" t="inlineStr">
        <is>
          <t>평택, 안성</t>
        </is>
      </c>
      <c r="D8" s="4" t="inlineStr">
        <is>
          <t>경기 서남부</t>
        </is>
      </c>
    </row>
    <row r="9">
      <c r="A9" s="4" t="inlineStr">
        <is>
          <t>평택</t>
        </is>
      </c>
      <c r="B9" s="4" t="inlineStr">
        <is>
          <t>화성, 안성, 용인, 오산, 아산, 당진</t>
        </is>
      </c>
      <c r="C9" s="4" t="inlineStr">
        <is>
          <t>화성, 안성, 아산, 당진</t>
        </is>
      </c>
      <c r="D9" s="4" t="inlineStr">
        <is>
          <t>경기-충남 접경</t>
        </is>
      </c>
    </row>
    <row r="10">
      <c r="A10" s="4" t="inlineStr">
        <is>
          <t>용인</t>
        </is>
      </c>
      <c r="B10" s="4" t="inlineStr">
        <is>
          <t>수원, 성남, 광주, 이천, 안성, 평택, 화성</t>
        </is>
      </c>
      <c r="C10" s="4" t="inlineStr">
        <is>
          <t>이천, 안성, 평택, 화성</t>
        </is>
      </c>
      <c r="D10" s="4" t="inlineStr">
        <is>
          <t>도시화 진행</t>
        </is>
      </c>
    </row>
    <row r="11">
      <c r="A11" s="4" t="inlineStr">
        <is>
          <t>안산</t>
        </is>
      </c>
      <c r="B11" s="4" t="inlineStr">
        <is>
          <t>시흥, 화성, 수원</t>
        </is>
      </c>
      <c r="C11" s="4" t="inlineStr">
        <is>
          <t>화성</t>
        </is>
      </c>
      <c r="D11" s="4" t="inlineStr">
        <is>
          <t>도시·공업</t>
        </is>
      </c>
    </row>
    <row r="12">
      <c r="A12" s="4" t="inlineStr">
        <is>
          <t>시흥</t>
        </is>
      </c>
      <c r="B12" s="4" t="inlineStr">
        <is>
          <t>안산, 화성, 광명, 부천, 안양, 군포, 김포</t>
        </is>
      </c>
      <c r="C12" s="4" t="inlineStr">
        <is>
          <t>화성, 김포</t>
        </is>
      </c>
      <c r="D12" s="4" t="inlineStr">
        <is>
          <t>도시화</t>
        </is>
      </c>
    </row>
    <row r="13">
      <c r="A13" s="4" t="inlineStr">
        <is>
          <t>이천</t>
        </is>
      </c>
      <c r="B13" s="4" t="inlineStr">
        <is>
          <t>여주, 광주, 용인, 안성, 음성</t>
        </is>
      </c>
      <c r="C13" s="4" t="inlineStr">
        <is>
          <t>여주, 안성</t>
        </is>
      </c>
      <c r="D13" s="4" t="inlineStr">
        <is>
          <t>경기 동남부</t>
        </is>
      </c>
    </row>
    <row r="14">
      <c r="A14" s="4" t="inlineStr">
        <is>
          <t>파주</t>
        </is>
      </c>
      <c r="B14" s="4" t="inlineStr">
        <is>
          <t>고양, 양주, 연천, 김포</t>
        </is>
      </c>
      <c r="C14" s="4" t="inlineStr">
        <is>
          <t>김포, 연천</t>
        </is>
      </c>
      <c r="D14" s="4" t="inlineStr">
        <is>
          <t>휴전선 인근</t>
        </is>
      </c>
    </row>
    <row r="15">
      <c r="A15" s="4" t="inlineStr">
        <is>
          <t>김포</t>
        </is>
      </c>
      <c r="B15" s="4" t="inlineStr">
        <is>
          <t>파주, 고양, 인천, 시흥</t>
        </is>
      </c>
      <c r="C15" s="4" t="inlineStr">
        <is>
          <t>파주</t>
        </is>
      </c>
      <c r="D15" s="4" t="inlineStr">
        <is>
          <t>서울 서쪽</t>
        </is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8.xml><?xml version="1.0" encoding="utf-8"?>
<worksheet xmlns="http://schemas.openxmlformats.org/spreadsheetml/2006/main">
  <sheetPr codeName="Sheet17">
    <outlinePr summaryBelow="1" summaryRight="1"/>
    <pageSetUpPr/>
  </sheetPr>
  <dimension ref="A1:H15"/>
  <sheetViews>
    <sheetView topLeftCell="A1" zoomScaleNormal="100" zoomScaleSheetLayoutView="75" workbookViewId="0">
      <selection activeCell="A1" activeCellId="0" sqref="A1:A1"/>
    </sheetView>
  </sheetViews>
  <sheetFormatPr baseColWidth="8" defaultColWidth="9.00390625" defaultRowHeight="16.4"/>
  <sheetData>
    <row r="1">
      <c r="A1" s="4" t="inlineStr">
        <is>
          <t>시군</t>
        </is>
      </c>
      <c r="B1" s="4" t="inlineStr">
        <is>
          <t>필지</t>
        </is>
      </c>
      <c r="C1" s="4" t="inlineStr">
        <is>
          <t>개인%</t>
        </is>
      </c>
      <c r="D1" s="4" t="inlineStr">
        <is>
          <t>국유%</t>
        </is>
      </c>
      <c r="E1" s="4" t="inlineStr">
        <is>
          <t>공공%</t>
        </is>
      </c>
      <c r="F1" s="4" t="inlineStr">
        <is>
          <t>법인%</t>
        </is>
      </c>
      <c r="G1" s="4" t="inlineStr">
        <is>
          <t>종중·종교%</t>
        </is>
      </c>
      <c r="H1" s="4" t="inlineStr">
        <is>
          <t>기타%</t>
        </is>
      </c>
    </row>
    <row r="2">
      <c r="A2" s="4" t="inlineStr">
        <is>
          <t>당진</t>
        </is>
      </c>
      <c r="B2" s="4" t="n">
        <v>96837</v>
      </c>
      <c r="C2" s="4" t="n">
        <v>85.40000000000001</v>
      </c>
      <c r="D2" s="4" t="n">
        <v>2</v>
      </c>
      <c r="E2" s="4" t="n">
        <v>6.2</v>
      </c>
      <c r="F2" s="4" t="n">
        <v>4.8</v>
      </c>
      <c r="G2" s="4" t="n">
        <v>1.2</v>
      </c>
      <c r="H2" s="4" t="n">
        <v>0.5</v>
      </c>
    </row>
    <row r="3">
      <c r="A3" s="4" t="inlineStr">
        <is>
          <t>서산</t>
        </is>
      </c>
      <c r="B3" s="4" t="n">
        <v>69846</v>
      </c>
      <c r="C3" s="4" t="n">
        <v>83.8</v>
      </c>
      <c r="D3" s="4" t="n">
        <v>2.9</v>
      </c>
      <c r="E3" s="4" t="n">
        <v>8.199999999999999</v>
      </c>
      <c r="F3" s="4" t="n">
        <v>3.9</v>
      </c>
      <c r="G3" s="4" t="n">
        <v>0.8</v>
      </c>
      <c r="H3" s="4" t="n">
        <v>0.4</v>
      </c>
    </row>
    <row r="4">
      <c r="A4" s="4" t="inlineStr">
        <is>
          <t>아산</t>
        </is>
      </c>
      <c r="B4" s="4" t="n">
        <v>105616</v>
      </c>
      <c r="C4" s="4" t="n">
        <v>72.8</v>
      </c>
      <c r="D4" s="4" t="n">
        <v>7.7</v>
      </c>
      <c r="E4" s="4" t="n">
        <v>11.4</v>
      </c>
      <c r="F4" s="4" t="n">
        <v>5.7</v>
      </c>
      <c r="G4" s="4" t="n">
        <v>1.6</v>
      </c>
      <c r="H4" s="4" t="n">
        <v>0.7</v>
      </c>
    </row>
    <row r="5">
      <c r="A5" s="4" t="inlineStr">
        <is>
          <t>천안시</t>
        </is>
      </c>
      <c r="B5" s="4" t="n">
        <v>128132</v>
      </c>
      <c r="C5" s="4" t="n">
        <v>65.8</v>
      </c>
      <c r="D5" s="4" t="n">
        <v>10.3</v>
      </c>
      <c r="E5" s="4" t="n">
        <v>13.8</v>
      </c>
      <c r="F5" s="4" t="n">
        <v>7.7</v>
      </c>
      <c r="G5" s="4" t="n">
        <v>1.4</v>
      </c>
      <c r="H5" s="4" t="n">
        <v>0.9</v>
      </c>
    </row>
    <row r="6">
      <c r="A6" s="4" t="inlineStr">
        <is>
          <t>예산</t>
        </is>
      </c>
      <c r="B6" s="4" t="n">
        <v>17233</v>
      </c>
      <c r="C6" s="4" t="n">
        <v>83.3</v>
      </c>
      <c r="D6" s="4" t="n">
        <v>7.9</v>
      </c>
      <c r="E6" s="4" t="n">
        <v>3.9</v>
      </c>
      <c r="F6" s="4" t="n">
        <v>3.3</v>
      </c>
      <c r="G6" s="4" t="n">
        <v>1.1</v>
      </c>
      <c r="H6" s="4" t="n">
        <v>0.4</v>
      </c>
    </row>
    <row r="7">
      <c r="A7" s="4" t="inlineStr">
        <is>
          <t>홍성</t>
        </is>
      </c>
      <c r="B7" s="4" t="n">
        <v>42883</v>
      </c>
      <c r="C7" s="4" t="n">
        <v>82.3</v>
      </c>
      <c r="D7" s="4" t="n">
        <v>3.1</v>
      </c>
      <c r="E7" s="4" t="n">
        <v>6.5</v>
      </c>
      <c r="F7" s="4" t="n">
        <v>6.8</v>
      </c>
      <c r="G7" s="4" t="n">
        <v>1.1</v>
      </c>
      <c r="H7" s="4" t="n">
        <v>0.2</v>
      </c>
    </row>
    <row r="8">
      <c r="A8" s="4" t="inlineStr">
        <is>
          <t>화성</t>
        </is>
      </c>
      <c r="B8" s="4" t="n">
        <v>133492</v>
      </c>
      <c r="C8" s="4" t="n">
        <v>77.5</v>
      </c>
      <c r="D8" s="4" t="n">
        <v>7</v>
      </c>
      <c r="E8" s="4" t="n">
        <v>7.6</v>
      </c>
      <c r="F8" s="4" t="n">
        <v>5.1</v>
      </c>
      <c r="G8" s="4" t="n">
        <v>1.5</v>
      </c>
      <c r="H8" s="4" t="n">
        <v>1.3</v>
      </c>
    </row>
    <row r="9">
      <c r="A9" s="4" t="inlineStr">
        <is>
          <t>평택</t>
        </is>
      </c>
      <c r="B9" s="4" t="n">
        <v>160090</v>
      </c>
      <c r="C9" s="4" t="n">
        <v>69.2</v>
      </c>
      <c r="D9" s="4" t="n">
        <v>12.7</v>
      </c>
      <c r="E9" s="4" t="n">
        <v>11.5</v>
      </c>
      <c r="F9" s="4" t="n">
        <v>4.7</v>
      </c>
      <c r="G9" s="4" t="n">
        <v>1.3</v>
      </c>
      <c r="H9" s="4" t="n">
        <v>0.8</v>
      </c>
    </row>
    <row r="10">
      <c r="A10" s="4" t="inlineStr">
        <is>
          <t>용인</t>
        </is>
      </c>
      <c r="B10" s="4" t="n">
        <v>3179</v>
      </c>
      <c r="C10" s="4" t="n">
        <v>76.3</v>
      </c>
      <c r="D10" s="4" t="n">
        <v>3.8</v>
      </c>
      <c r="E10" s="4" t="n">
        <v>12.2</v>
      </c>
      <c r="F10" s="4" t="n">
        <v>5.4</v>
      </c>
      <c r="G10" s="4" t="n">
        <v>1.8</v>
      </c>
      <c r="H10" s="4" t="n">
        <v>0.4</v>
      </c>
    </row>
    <row r="11">
      <c r="A11" s="4" t="inlineStr">
        <is>
          <t>안산</t>
        </is>
      </c>
      <c r="B11" s="4" t="n">
        <v>19461</v>
      </c>
      <c r="C11" s="4" t="n">
        <v>79.3</v>
      </c>
      <c r="D11" s="4" t="n">
        <v>5.1</v>
      </c>
      <c r="E11" s="4" t="n">
        <v>8.5</v>
      </c>
      <c r="F11" s="4" t="n">
        <v>4.8</v>
      </c>
      <c r="G11" s="4" t="n">
        <v>1.8</v>
      </c>
      <c r="H11" s="4" t="n">
        <v>0.5</v>
      </c>
    </row>
    <row r="12">
      <c r="A12" s="4" t="inlineStr">
        <is>
          <t>시흥</t>
        </is>
      </c>
      <c r="B12" s="4" t="n">
        <v>21077</v>
      </c>
      <c r="C12" s="4" t="n">
        <v>78.59999999999999</v>
      </c>
      <c r="D12" s="4" t="n">
        <v>5.1</v>
      </c>
      <c r="E12" s="4" t="n">
        <v>9.5</v>
      </c>
      <c r="F12" s="4" t="n">
        <v>4.6</v>
      </c>
      <c r="G12" s="4" t="n">
        <v>1.7</v>
      </c>
      <c r="H12" s="4" t="n">
        <v>0.5</v>
      </c>
    </row>
    <row r="13">
      <c r="A13" s="4" t="inlineStr">
        <is>
          <t>이천</t>
        </is>
      </c>
      <c r="B13" s="4" t="n">
        <v>64230</v>
      </c>
      <c r="C13" s="4" t="n">
        <v>79</v>
      </c>
      <c r="D13" s="4" t="n">
        <v>6.7</v>
      </c>
      <c r="E13" s="4" t="n">
        <v>7.8</v>
      </c>
      <c r="F13" s="4" t="n">
        <v>4.1</v>
      </c>
      <c r="G13" s="4" t="n">
        <v>1.4</v>
      </c>
      <c r="H13" s="4" t="n">
        <v>0.9</v>
      </c>
    </row>
    <row r="14">
      <c r="A14" s="4" t="inlineStr">
        <is>
          <t>파주</t>
        </is>
      </c>
      <c r="B14" s="4" t="n">
        <v>87000</v>
      </c>
      <c r="C14" s="4" t="n">
        <v>64.40000000000001</v>
      </c>
      <c r="D14" s="4" t="n">
        <v>18.5</v>
      </c>
      <c r="E14" s="4" t="n">
        <v>7.9</v>
      </c>
      <c r="F14" s="4" t="n">
        <v>4.9</v>
      </c>
      <c r="G14" s="4" t="n">
        <v>2.2</v>
      </c>
      <c r="H14" s="4" t="n">
        <v>2.1</v>
      </c>
    </row>
    <row r="15">
      <c r="A15" s="4" t="inlineStr">
        <is>
          <t>김포</t>
        </is>
      </c>
      <c r="B15" s="4" t="n">
        <v>36431</v>
      </c>
      <c r="C15" s="4" t="n">
        <v>76.90000000000001</v>
      </c>
      <c r="D15" s="4" t="n">
        <v>4.9</v>
      </c>
      <c r="E15" s="4" t="n">
        <v>10.8</v>
      </c>
      <c r="F15" s="4" t="n">
        <v>5.6</v>
      </c>
      <c r="G15" s="4" t="n">
        <v>1.2</v>
      </c>
      <c r="H15" s="4" t="n">
        <v>0.6</v>
      </c>
    </row>
  </sheetData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600" verticalDpi="600" copies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8" customWidth="1" style="5" min="1" max="1"/>
    <col width="26" customWidth="1" style="5" min="2" max="2"/>
    <col width="14" customWidth="1" style="5" min="3" max="3"/>
    <col width="18" customWidth="1" style="5" min="4" max="4"/>
    <col width="12" customWidth="1" style="5" min="5" max="5"/>
    <col width="14" customWidth="1" style="5" min="6" max="6"/>
    <col width="24" customWidth="1" style="5" min="7" max="7"/>
    <col width="38" customWidth="1" style="5" min="8" max="8"/>
    <col width="52" customWidth="1" style="5" min="9" max="9"/>
    <col width="52" customWidth="1" style="5" min="10" max="10"/>
    <col width="60" customWidth="1" style="5" min="11" max="11"/>
  </cols>
  <sheetData>
    <row r="1">
      <c r="A1" s="6" t="inlineStr">
        <is>
          <t>시군</t>
        </is>
      </c>
      <c r="B1" s="6" t="inlineStr">
        <is>
          <t>사업장명</t>
        </is>
      </c>
      <c r="C1" s="6" t="inlineStr">
        <is>
          <t>채택값_GWh/년</t>
        </is>
      </c>
      <c r="D1" s="6" t="inlineStr">
        <is>
          <t>Scope2_tCO2eq_2024</t>
        </is>
      </c>
      <c r="E1" s="6" t="inlineStr">
        <is>
          <t>전력배출계수_tCO2eq/MWh</t>
        </is>
      </c>
      <c r="F1" s="6" t="inlineStr">
        <is>
          <t>역산_GWh(=Scope2÷계수÷1000)</t>
        </is>
      </c>
      <c r="G1" s="7" t="inlineStr">
        <is>
          <t>산정방식</t>
        </is>
      </c>
      <c r="H1" s="7" t="inlineStr">
        <is>
          <t>1차출처</t>
        </is>
      </c>
      <c r="I1" s="7" t="inlineStr">
        <is>
          <t>출처_상세(compId/문서)</t>
        </is>
      </c>
      <c r="J1" s="7" t="inlineStr">
        <is>
          <t>교차검증</t>
        </is>
      </c>
      <c r="K1" s="7" t="inlineStr">
        <is>
          <t>비고·한계</t>
        </is>
      </c>
    </row>
    <row r="2">
      <c r="A2" s="6" t="inlineStr">
        <is>
          <t>평택</t>
        </is>
      </c>
      <c r="B2" s="6" t="inlineStr">
        <is>
          <t>삼성전자 평택캠퍼스</t>
        </is>
      </c>
      <c r="C2" s="8" t="n">
        <v>11870</v>
      </c>
      <c r="D2" s="8" t="n">
        <v>5453586</v>
      </c>
      <c r="E2" s="6" t="n">
        <v>0.4594</v>
      </c>
      <c r="F2" s="8">
        <f>ROUND(D2/E2/1000,0)</f>
        <v/>
      </c>
      <c r="G2" s="7" t="inlineStr">
        <is>
          <t>Scope2 역산</t>
        </is>
      </c>
      <c r="H2" s="7" t="inlineStr">
        <is>
          <t>환경정보공개시스템(env-info.kr) 사업장 환경정보 2024</t>
        </is>
      </c>
      <c r="I2" s="7" t="inlineStr">
        <is>
          <t>COMP_ID=CM000000000000001312</t>
        </is>
      </c>
      <c r="J2" s="7" t="inlineStr">
        <is>
          <t>국내 전 사업장 합산 ≈ 25,111 GWh(지속가능경영보고서 '24)와 정합</t>
        </is>
      </c>
      <c r="K2" s="7" t="inlineStr">
        <is>
          <t>구매전력 기준, 소량 외부 열·증기 포함 가능</t>
        </is>
      </c>
    </row>
    <row r="3">
      <c r="A3" s="6" t="inlineStr">
        <is>
          <t>화성</t>
        </is>
      </c>
      <c r="B3" s="6" t="inlineStr">
        <is>
          <t>삼성전자 화성캠퍼스</t>
        </is>
      </c>
      <c r="C3" s="8" t="n">
        <v>8490</v>
      </c>
      <c r="D3" s="8" t="n">
        <v>3900531</v>
      </c>
      <c r="E3" s="6" t="n">
        <v>0.4594</v>
      </c>
      <c r="F3" s="8">
        <f>ROUND(D3/E3/1000,0)</f>
        <v/>
      </c>
      <c r="G3" s="7" t="inlineStr">
        <is>
          <t>Scope2 역산</t>
        </is>
      </c>
      <c r="H3" s="7" t="inlineStr">
        <is>
          <t>환경정보공개시스템 2024</t>
        </is>
      </c>
      <c r="I3" s="7" t="inlineStr">
        <is>
          <t>COMP_ID=CM000000000000001362</t>
        </is>
      </c>
      <c r="J3" s="7" t="inlineStr">
        <is>
          <t>삼성전자 국내 합산 정합성 검증에 포함</t>
        </is>
      </c>
      <c r="K3" s="7" t="inlineStr">
        <is>
          <t>구매전력 기준</t>
        </is>
      </c>
    </row>
    <row r="4">
      <c r="A4" s="6" t="inlineStr">
        <is>
          <t>용인</t>
        </is>
      </c>
      <c r="B4" s="6" t="inlineStr">
        <is>
          <t>삼성전자 기흥캠퍼스</t>
        </is>
      </c>
      <c r="C4" s="8" t="n">
        <v>2300</v>
      </c>
      <c r="D4" s="8" t="n">
        <v>1055102</v>
      </c>
      <c r="E4" s="6" t="n">
        <v>0.4594</v>
      </c>
      <c r="F4" s="8">
        <f>ROUND(D4/E4/1000,0)</f>
        <v/>
      </c>
      <c r="G4" s="7" t="inlineStr">
        <is>
          <t>Scope2 역산</t>
        </is>
      </c>
      <c r="H4" s="7" t="inlineStr">
        <is>
          <t>환경정보공개시스템 2024</t>
        </is>
      </c>
      <c r="I4" s="7" t="inlineStr">
        <is>
          <t>COMP_ID=00000000000000347978</t>
        </is>
      </c>
      <c r="J4" s="7" t="inlineStr">
        <is>
          <t>삼성전자 국내 합산 정합성 검증에 포함</t>
        </is>
      </c>
      <c r="K4" s="7" t="inlineStr">
        <is>
          <t>기존 추정(3,450) 대비 -33% 교정</t>
        </is>
      </c>
    </row>
    <row r="5">
      <c r="A5" s="6" t="inlineStr">
        <is>
          <t>아산</t>
        </is>
      </c>
      <c r="B5" s="6" t="inlineStr">
        <is>
          <t>삼성디스플레이 아산캠퍼스</t>
        </is>
      </c>
      <c r="C5" s="8" t="n">
        <v>5760</v>
      </c>
      <c r="D5" s="8" t="n">
        <v>2646333</v>
      </c>
      <c r="E5" s="6" t="n">
        <v>0.4594</v>
      </c>
      <c r="F5" s="8">
        <f>ROUND(D5/E5/1000,0)</f>
        <v/>
      </c>
      <c r="G5" s="7" t="inlineStr">
        <is>
          <t>Scope2 역산(2개 사업장 합산)</t>
        </is>
      </c>
      <c r="H5" s="7" t="inlineStr">
        <is>
          <t>환경정보공개시스템 2024</t>
        </is>
      </c>
      <c r="I5" s="7" t="inlineStr">
        <is>
          <t>아산LCD(본사) 969,660(COMP_ID=00000000000000170154) + 아산OLED 1,676,673(00000000000000187234)</t>
        </is>
      </c>
      <c r="J5" s="7" t="inlineStr">
        <is>
          <t>SD 국내 합산 검증치 2,820,434 tCO2eq('24 SR 검증의견서)와 정합</t>
        </is>
      </c>
      <c r="K5" s="7" t="inlineStr">
        <is>
          <t>기흥(SDR)·천안 제외한 아산캠퍼스만 합산</t>
        </is>
      </c>
    </row>
    <row r="6">
      <c r="A6" s="6" t="inlineStr">
        <is>
          <t>천안</t>
        </is>
      </c>
      <c r="B6" s="6" t="inlineStr">
        <is>
          <t>삼성디스플레이 천안사업장</t>
        </is>
      </c>
      <c r="C6" s="8" t="n">
        <v>150</v>
      </c>
      <c r="D6" s="8" t="n">
        <v>69233</v>
      </c>
      <c r="E6" s="6" t="n">
        <v>0.4594</v>
      </c>
      <c r="F6" s="8">
        <f>ROUND(D6/E6/1000,0)</f>
        <v/>
      </c>
      <c r="G6" s="7" t="inlineStr">
        <is>
          <t>Scope2 역산</t>
        </is>
      </c>
      <c r="H6" s="7" t="inlineStr">
        <is>
          <t>환경정보공개시스템 2024</t>
        </is>
      </c>
      <c r="I6" s="7" t="inlineStr">
        <is>
          <t>COMP_ID=00000000000000338707</t>
        </is>
      </c>
      <c r="J6" s="7" t="inlineStr">
        <is>
          <t>SD 국내 합산 정합성 검증에 포함</t>
        </is>
      </c>
      <c r="K6" s="7" t="inlineStr">
        <is>
          <t>기존 추정(550) 대비 -73% 교정 (A1·모듈 위주)</t>
        </is>
      </c>
    </row>
    <row r="7">
      <c r="A7" s="6" t="inlineStr">
        <is>
          <t>천안</t>
        </is>
      </c>
      <c r="B7" s="6" t="inlineStr">
        <is>
          <t>삼성SDI 천안사업장</t>
        </is>
      </c>
      <c r="C7" s="8" t="n">
        <v>393</v>
      </c>
      <c r="D7" s="8" t="n">
        <v>180530</v>
      </c>
      <c r="E7" s="6" t="n">
        <v>0.4594</v>
      </c>
      <c r="F7" s="8">
        <f>ROUND(D7/E7/1000,0)</f>
        <v/>
      </c>
      <c r="G7" s="7" t="inlineStr">
        <is>
          <t>Scope2 역산</t>
        </is>
      </c>
      <c r="H7" s="7" t="inlineStr">
        <is>
          <t>환경정보공개시스템 2024 / 삼성SDI SR2025 검증의견서</t>
        </is>
      </c>
      <c r="I7" s="7" t="inlineStr">
        <is>
          <t>COMP_ID=00000000000000351859</t>
        </is>
      </c>
      <c r="J7" s="7" t="inlineStr">
        <is>
          <t>SR2025 한국표준협회 검증의견서 사업장값(180,530)과 정확히 일치 — 시스템 신뢰성 검증 사례</t>
        </is>
      </c>
      <c r="K7" s="7" t="inlineStr">
        <is>
          <t>지역기반(location-based) 기준, 전기+소량 스팀</t>
        </is>
      </c>
    </row>
    <row r="8">
      <c r="A8" s="6" t="inlineStr">
        <is>
          <t>이천</t>
        </is>
      </c>
      <c r="B8" s="6" t="inlineStr">
        <is>
          <t>SK하이닉스 이천캠퍼스</t>
        </is>
      </c>
      <c r="C8" s="8" t="n">
        <v>3140</v>
      </c>
      <c r="D8" s="8" t="n">
        <v>1440785</v>
      </c>
      <c r="E8" s="6" t="n">
        <v>0.4594</v>
      </c>
      <c r="F8" s="8">
        <f>ROUND(D8/E8/1000,0)</f>
        <v/>
      </c>
      <c r="G8" s="7" t="inlineStr">
        <is>
          <t>Scope2 역산(구매전력만)</t>
        </is>
      </c>
      <c r="H8" s="7" t="inlineStr">
        <is>
          <t>환경정보공개시스템 2024</t>
        </is>
      </c>
      <c r="I8" s="7" t="inlineStr">
        <is>
          <t>COMP_ID=00000000000000095375 (이천본사)</t>
        </is>
      </c>
      <c r="J8" s="7" t="inlineStr">
        <is>
          <t>국내 전체 8,867 GWh('23 GIR 기반)와 자가발전 감안 시 정합</t>
        </is>
      </c>
      <c r="K8" s="7" t="inlineStr">
        <is>
          <t>LNG 열병합(SEC 570MW, '23 가동) 자가발전은 Scope1 — 포함 총소비 5~6 TWh 추정</t>
        </is>
      </c>
    </row>
    <row r="9">
      <c r="A9" s="6" t="inlineStr">
        <is>
          <t>파주</t>
        </is>
      </c>
      <c r="B9" s="6" t="inlineStr">
        <is>
          <t>LG디스플레이 파주사업장</t>
        </is>
      </c>
      <c r="C9" s="8" t="n">
        <v>4300</v>
      </c>
      <c r="D9" s="8" t="n">
        <v>1976628</v>
      </c>
      <c r="E9" s="6" t="n">
        <v>0.4594</v>
      </c>
      <c r="F9" s="8">
        <f>ROUND(D9/E9/1000,0)</f>
        <v/>
      </c>
      <c r="G9" s="7" t="inlineStr">
        <is>
          <t>Scope2 역산</t>
        </is>
      </c>
      <c r="H9" s="7" t="inlineStr">
        <is>
          <t>환경정보공개시스템 2024</t>
        </is>
      </c>
      <c r="I9" s="7" t="inlineStr">
        <is>
          <t>COMP_ID=00000000000000165477 (파주공장)</t>
        </is>
      </c>
      <c r="J9" s="7" t="inlineStr">
        <is>
          <t>국내 사업장 합산 역산 5,407 GWh ≈ ESG데이터북 국내 전력 5,408 GWh('24) — 완전 정합</t>
        </is>
      </c>
      <c r="K9" s="7" t="inlineStr">
        <is>
          <t>파주 폐기물공동처리시설(2,038 tCO2eq)은 미미하여 제외</t>
        </is>
      </c>
    </row>
    <row r="10">
      <c r="A10" s="6" t="inlineStr">
        <is>
          <t>서산</t>
        </is>
      </c>
      <c r="B10" s="6" t="inlineStr">
        <is>
          <t>한화토탈에너지스 대산공장</t>
        </is>
      </c>
      <c r="C10" s="8" t="n">
        <v>1810</v>
      </c>
      <c r="D10" s="8" t="n">
        <v>754364</v>
      </c>
      <c r="E10" s="6" t="n">
        <v>0.4594</v>
      </c>
      <c r="F10" s="8">
        <f>ROUND(D10/E10/1000,0)</f>
        <v/>
      </c>
      <c r="G10" s="7" t="inlineStr">
        <is>
          <t>직접공시(수전량 실측)</t>
        </is>
      </c>
      <c r="H10" s="7" t="inlineStr">
        <is>
          <t>2025 지속가능경영보고서 SASB p.76</t>
        </is>
      </c>
      <c r="I10" s="7" t="inlineStr">
        <is>
          <t>수전량 1,809,423 MWh('24), 자가발전 1,032,450 MWh 별도</t>
        </is>
      </c>
      <c r="J10" s="7" t="inlineStr">
        <is>
          <t>전력 15,489 TJ ÷ 8.583 GJ/MWh = 1,805 GWh ≈ 수전량 실측과 일치</t>
        </is>
      </c>
      <c r="K10" s="7" t="inlineStr">
        <is>
          <t>Scope2는 공급자 고유계수(인근 LNG 직도입 추정) 적용 → 국가계수 역산 부적합. 역산열 참고용</t>
        </is>
      </c>
    </row>
    <row r="11">
      <c r="A11" s="6" t="inlineStr">
        <is>
          <t>서산</t>
        </is>
      </c>
      <c r="B11" s="6" t="inlineStr">
        <is>
          <t>HD현대오일뱅크 대산공장</t>
        </is>
      </c>
      <c r="C11" s="8" t="n">
        <v>2050</v>
      </c>
      <c r="D11" s="8" t="n">
        <v>961651</v>
      </c>
      <c r="E11" s="6" t="n">
        <v>0.4594</v>
      </c>
      <c r="F11" s="8">
        <f>ROUND(D11/E11/1000,0)</f>
        <v/>
      </c>
      <c r="G11" s="7" t="inlineStr">
        <is>
          <t>직접공시(전기 TJ 환산)</t>
        </is>
      </c>
      <c r="H11" s="7" t="inlineStr">
        <is>
          <t>2024 지속가능경영보고서 ESG Data p.105-106</t>
        </is>
      </c>
      <c r="I11" s="7" t="inlineStr">
        <is>
          <t>전기 17,616 TJ('24) ÷ 8.583 GJ/MWh = 2,052 GWh</t>
        </is>
      </c>
      <c r="J11" s="7" t="inlineStr">
        <is>
          <t>법인 전체≈대산(직영주유소 등 소량 포함)</t>
        </is>
      </c>
      <c r="K11" s="7" t="inlineStr">
        <is>
          <t>Scope2에 스팀 1,716 TJ 포함 → 역산열은 상한. HD현대케미칼(별도법인, 전기 11,980 TJ≈1,396 GWh) 미포함</t>
        </is>
      </c>
    </row>
    <row r="12">
      <c r="A12" s="6" t="inlineStr">
        <is>
          <t>서산</t>
        </is>
      </c>
      <c r="B12" s="6" t="inlineStr">
        <is>
          <t>롯데케미칼 대산공장</t>
        </is>
      </c>
      <c r="C12" s="8" t="n">
        <v>880</v>
      </c>
      <c r="D12" s="8" t="n">
        <v>724970</v>
      </c>
      <c r="E12" s="6" t="n">
        <v>0.4594</v>
      </c>
      <c r="F12" s="8">
        <f>ROUND(D12/E12/1000,0)</f>
        <v/>
      </c>
      <c r="G12" s="7" t="inlineStr">
        <is>
          <t>Scope2 × 전사 전력비중(≈56%)</t>
        </is>
      </c>
      <c r="H12" s="7" t="inlineStr">
        <is>
          <t>2024 ESG Report Databook p.123-124 / 환경정보공개시스템</t>
        </is>
      </c>
      <c r="I12" s="7" t="inlineStr">
        <is>
          <t>ESG보고서 650,497(1차 명세서) vs env-info 724,970 tCO2eq — 양 출처 병기</t>
        </is>
      </c>
      <c r="J12" s="7" t="inlineStr">
        <is>
          <t>전사 검산: 전력 21,822 TJ×0.4594 + 스팀 16,334 TJ×0.057 ≈ 공시 Scope2 합계 재현</t>
        </is>
      </c>
      <c r="K12" s="7" t="inlineStr">
        <is>
          <t>대산 전기/스팀 분리 미공시 → 790~880 GWh(비중법), 상한 1,420~1,580(전량 전기 가정). '25.12 대산 NCC 폐쇄 계획 보도 — 향후 급변 예정</t>
        </is>
      </c>
    </row>
    <row r="13">
      <c r="A13" s="6" t="inlineStr">
        <is>
          <t>서산</t>
        </is>
      </c>
      <c r="B13" s="6" t="inlineStr">
        <is>
          <t>LG화학 대산공장</t>
        </is>
      </c>
      <c r="C13" s="8" t="n">
        <v>1000</v>
      </c>
      <c r="D13" s="8" t="n">
        <v>543404</v>
      </c>
      <c r="E13" s="6" t="n">
        <v>0.4594</v>
      </c>
      <c r="F13" s="8">
        <f>ROUND(D13/E13/1000,0)</f>
        <v/>
      </c>
      <c r="G13" s="7" t="inlineStr">
        <is>
          <t>Scope2 × 전사 전력비중(≈81%)</t>
        </is>
      </c>
      <c r="H13" s="7" t="inlineStr">
        <is>
          <t>환경정보공개시스템 2024</t>
        </is>
      </c>
      <c r="I13" s="7" t="inlineStr">
        <is>
          <t>COMP_ID=00000000000000153682</t>
        </is>
      </c>
      <c r="J13" s="7" t="inlineStr">
        <is>
          <t>GIR 법인 합산 대비 대산 비중 29.4%(배출)·29.1%(에너지)로 일관</t>
        </is>
      </c>
      <c r="K13" s="7" t="inlineStr">
        <is>
          <t>'24 Scope2 -31.8%·Scope1 +13.1% — 구매 유틸리티의 자가전환 시사, 실제값은 상한(1,183)쪽 가능</t>
        </is>
      </c>
    </row>
    <row r="14">
      <c r="A14" s="6" t="inlineStr">
        <is>
          <t>당진</t>
        </is>
      </c>
      <c r="B14" s="6" t="inlineStr">
        <is>
          <t>현대제철 당진제철소</t>
        </is>
      </c>
      <c r="C14" s="8" t="n">
        <v>1710</v>
      </c>
      <c r="D14" s="8" t="n">
        <v>785474</v>
      </c>
      <c r="E14" s="6" t="n">
        <v>0.4594</v>
      </c>
      <c r="F14" s="8">
        <f>ROUND(D14/E14/1000,0)</f>
        <v/>
      </c>
      <c r="G14" s="7" t="inlineStr">
        <is>
          <t>Scope2 역산(구매전력만)</t>
        </is>
      </c>
      <c r="H14" s="7" t="inlineStr">
        <is>
          <t>환경정보공개시스템 2024</t>
        </is>
      </c>
      <c r="I14" s="7" t="inlineStr">
        <is>
          <t>COMP_ID=00000000000000145859</t>
        </is>
      </c>
      <c r="J14" s="7" t="inlineStr">
        <is>
          <t>Scope1 25,942,622 tCO2eq — 부생가스 자가발전이 지배적</t>
        </is>
      </c>
      <c r="K14" s="7" t="inlineStr">
        <is>
          <t>자가발전 포함 총소비는 보도 추정 ~6,600 GWh — 구매전력과 기준 구분 필수</t>
        </is>
      </c>
    </row>
    <row r="15">
      <c r="A15" s="6" t="n"/>
      <c r="B15" s="6" t="n"/>
      <c r="C15" s="6" t="n"/>
      <c r="D15" s="6" t="n"/>
      <c r="E15" s="6" t="n"/>
      <c r="F15" s="6" t="n"/>
      <c r="G15" s="7" t="n"/>
      <c r="H15" s="7" t="n"/>
      <c r="I15" s="7" t="n"/>
      <c r="J15" s="7" t="n"/>
      <c r="K15" s="7" t="n"/>
    </row>
    <row r="16">
      <c r="A16" s="7" t="inlineStr">
        <is>
          <t>방법론 요약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inlineStr">
        <is>
          <t>1</t>
        </is>
      </c>
      <c r="B17" s="7" t="inlineStr">
        <is>
          <t>조회 절차</t>
        </is>
      </c>
      <c r="C17" s="7" t="inlineStr">
        <is>
          <t>env-info.kr POST /member/open/retrieveDoc.do (form-encoded, mapData={"year":"2024","year2":"2024","compNm":"&lt;회사명&gt;"}) → compId 획득 → GET /user/register/viewUserSearch2.do?YEAR=2024&amp;COMP_ID=&lt;compId&gt;&amp;OPEN_YN=Y 에서 Scope1/2 추출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inlineStr">
        <is>
          <t>2</t>
        </is>
      </c>
      <c r="B18" s="7" t="inlineStr">
        <is>
          <t>전력배출계수</t>
        </is>
      </c>
      <c r="C18" s="7" t="inlineStr">
        <is>
          <t>0.4594 tCO2eq/MWh — 배출권거래제 3차 계획기간(2021~2025 이행연도) 명세서·정산 적용 계수. 4차(2026년 배출분, 2027년 제출)부터 0.4541(GIR 2025.3.31 공고). 근거: 환경부고시 제2025-64호, 기후에너지환경부 보도자료 2025.12.18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inlineStr">
        <is>
          <t>3</t>
        </is>
      </c>
      <c r="B19" s="7" t="inlineStr">
        <is>
          <t>역산식</t>
        </is>
      </c>
      <c r="C19" s="7" t="inlineStr">
        <is>
          <t>구매전력(GWh) = Scope2 간접배출량(tCO2eq) ÷ 0.4594(tCO2eq/MWh) ÷ 1,000. 채택값은 유효숫자 3자리 내림/반올림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inlineStr">
        <is>
          <t>4</t>
        </is>
      </c>
      <c r="B20" s="7" t="inlineStr">
        <is>
          <t>한계 (a)</t>
        </is>
      </c>
      <c r="C20" s="7" t="inlineStr">
        <is>
          <t>Scope2에는 외부 스팀·열 구매가 포함 — 정유·석유화학은 스팀 비중이 커서 단순 역산 시 과대(롯데 전력비중 ≈56%, LG화학 ≈81% 보정 적용)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inlineStr">
        <is>
          <t>5</t>
        </is>
      </c>
      <c r="B21" s="7" t="inlineStr">
        <is>
          <t>한계 (b)</t>
        </is>
      </c>
      <c r="C21" s="7" t="inlineStr">
        <is>
          <t>명세서는 PPA·REC 차감, 녹색프리미엄 미차감 — 재생에너지 조달이 큰 기업은 실제 전력소비보다 과소 가능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inlineStr">
        <is>
          <t>6</t>
        </is>
      </c>
      <c r="B22" s="7" t="inlineStr">
        <is>
          <t>한계 (c)</t>
        </is>
      </c>
      <c r="C22" s="7" t="inlineStr">
        <is>
          <t>자가발전(LNG 열병합·부생가스)은 Scope1 — SK하이닉스 이천·현대제철 당진은 구매전력과 총소비 구분 필요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inlineStr">
        <is>
          <t>7</t>
        </is>
      </c>
      <c r="B23" s="7" t="inlineStr">
        <is>
          <t>데이터 시점</t>
        </is>
      </c>
      <c r="C23" s="7" t="inlineStr">
        <is>
          <t>2024년 배출실적(2025년 제출·검증), 조회일 2026-06-12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inlineStr">
        <is>
          <t>8</t>
        </is>
      </c>
      <c r="B24" s="7" t="inlineStr">
        <is>
          <t>반영 파일</t>
        </is>
      </c>
      <c r="C24" s="7" t="inlineStr">
        <is>
          <t>각 시군 *_complexes.json + *_map.html 인라인 INFO의 elec_gwh/elec_mwh/elec_note (수동 동기화)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style="5" min="1" max="1"/>
    <col width="34" customWidth="1" style="5" min="2" max="2"/>
    <col width="16" customWidth="1" style="5" min="3" max="3"/>
    <col width="28" customWidth="1" style="5" min="4" max="4"/>
    <col width="10" customWidth="1" style="5" min="5" max="5"/>
    <col width="14" customWidth="1" style="5" min="6" max="6"/>
    <col width="14" customWidth="1" style="5" min="7" max="7"/>
    <col width="30" customWidth="1" style="5" min="8" max="8"/>
    <col width="30" customWidth="1" style="5" min="9" max="9"/>
    <col width="30" customWidth="1" style="5" min="10" max="10"/>
    <col width="10" customWidth="1" style="5" min="11" max="11"/>
    <col width="64" customWidth="1" style="5" min="12" max="12"/>
  </cols>
  <sheetData>
    <row r="1">
      <c r="A1" s="6" t="inlineStr">
        <is>
          <t>시군</t>
        </is>
      </c>
      <c r="B1" s="7" t="inlineStr">
        <is>
          <t>위치(역지오코딩)</t>
        </is>
      </c>
      <c r="C1" s="6" t="inlineStr">
        <is>
          <t>중심좌표(lat,lon)</t>
        </is>
      </c>
      <c r="D1" s="7" t="inlineStr">
        <is>
          <t>소유유형</t>
        </is>
      </c>
      <c r="E1" s="6" t="inlineStr">
        <is>
          <t>면적_ha</t>
        </is>
      </c>
      <c r="F1" s="6" t="inlineStr">
        <is>
          <t>잠재_MW(=ha×10000×0.045÷1000)</t>
        </is>
      </c>
      <c r="G1" s="6" t="inlineStr">
        <is>
          <t>연간발전량_GWh(=MW×1.314)</t>
        </is>
      </c>
      <c r="H1" s="7" t="inlineStr">
        <is>
          <t>농업진흥지역 구성</t>
        </is>
      </c>
      <c r="I1" s="7" t="inlineStr">
        <is>
          <t>규제단계(면적 기준)</t>
        </is>
      </c>
      <c r="J1" s="7" t="inlineStr">
        <is>
          <t>최근접 산단/수요처</t>
        </is>
      </c>
      <c r="K1" s="6" t="inlineStr">
        <is>
          <t>거리_km</t>
        </is>
      </c>
      <c r="L1" s="7" t="inlineStr">
        <is>
          <t>시사점</t>
        </is>
      </c>
    </row>
    <row r="2">
      <c r="A2" s="6" t="inlineStr">
        <is>
          <t>평택</t>
        </is>
      </c>
      <c r="B2" s="7" t="inlineStr">
        <is>
          <t>팽성읍 대추리 일대(캠프 험프리스 주변)</t>
        </is>
      </c>
      <c r="C2" s="6" t="inlineStr">
        <is>
          <t>36.970, 127.004</t>
        </is>
      </c>
      <c r="D2" s="7" t="inlineStr">
        <is>
          <t>국공유(국유 820ha·군유 26ha)</t>
        </is>
      </c>
      <c r="E2" s="8" t="n">
        <v>846</v>
      </c>
      <c r="F2" s="8">
        <f>ROUND(E2*10000*0.045/1000,0)</f>
        <v/>
      </c>
      <c r="G2" s="8">
        <f>ROUND(F2*1.314,0)</f>
        <v/>
      </c>
      <c r="H2" s="7" t="inlineStr">
        <is>
          <t>반경4km 전체: 미지정 862·보호 748·진흥 230</t>
        </is>
      </c>
      <c r="I2" s="7" t="inlineStr">
        <is>
          <t>국공유지 중 현행 가능 813ha (96%)</t>
        </is>
      </c>
      <c r="J2" s="7" t="inlineStr">
        <is>
          <t>평택·오성일반산단 / 삼성전자 평택캠퍼스</t>
        </is>
      </c>
      <c r="K2" s="6" t="inlineStr">
        <is>
          <t>8.4 / ~10</t>
        </is>
      </c>
      <c r="L2" s="7" t="inlineStr">
        <is>
          <t>법 개정 불필요 — 국유재산 사용허가·대부만으로 추진 가능한 최대 연속지. 국방부(공여구역 주변)·기재부 협의 필요</t>
        </is>
      </c>
    </row>
    <row r="3">
      <c r="A3" s="6" t="inlineStr">
        <is>
          <t>평택</t>
        </is>
      </c>
      <c r="B3" s="7" t="inlineStr">
        <is>
          <t>서탄면 적봉리 진위천변</t>
        </is>
      </c>
      <c r="C3" s="6" t="inlineStr">
        <is>
          <t>37.096, 127.003</t>
        </is>
      </c>
      <c r="D3" s="7" t="inlineStr">
        <is>
          <t>국공유</t>
        </is>
      </c>
      <c r="E3" s="8" t="n">
        <v>220</v>
      </c>
      <c r="F3" s="8">
        <f>ROUND(E3*10000*0.045/1000,0)</f>
        <v/>
      </c>
      <c r="G3" s="8">
        <f>ROUND(F3*1.314,0)</f>
        <v/>
      </c>
      <c r="H3" s="7" t="inlineStr">
        <is>
          <t>혼합</t>
        </is>
      </c>
      <c r="I3" s="7" t="inlineStr">
        <is>
          <t>혼합(현행+보호)</t>
        </is>
      </c>
      <c r="J3" s="7" t="inlineStr">
        <is>
          <t>진위2일반산단</t>
        </is>
      </c>
      <c r="K3" s="6" t="inlineStr">
        <is>
          <t>5.2</t>
        </is>
      </c>
      <c r="L3" s="7" t="inlineStr">
        <is>
          <t>평택-화성 경계 광역(진위천 유역) 특구 후보 — 화성 양감면 측과 연계 시 368ha</t>
        </is>
      </c>
    </row>
    <row r="4">
      <c r="A4" s="6" t="inlineStr">
        <is>
          <t>당진</t>
        </is>
      </c>
      <c r="B4" s="7" t="inlineStr">
        <is>
          <t>송산면 통정리 일대 간척농지</t>
        </is>
      </c>
      <c r="C4" s="6" t="inlineStr">
        <is>
          <t>36.979, 126.638</t>
        </is>
      </c>
      <c r="D4" s="7" t="inlineStr">
        <is>
          <t>법인(간척지 분양·농업법인 포함)</t>
        </is>
      </c>
      <c r="E4" s="8" t="n">
        <v>1454</v>
      </c>
      <c r="F4" s="8">
        <f>ROUND(E4*10000*0.045/1000,0)</f>
        <v/>
      </c>
      <c r="G4" s="8">
        <f>ROUND(F4*1.314,0)</f>
        <v/>
      </c>
      <c r="H4" s="7" t="inlineStr">
        <is>
          <t>농업보호구역 1,416ha (96%)</t>
        </is>
      </c>
      <c r="I4" s="7" t="inlineStr">
        <is>
          <t>농식품부 행정 협의(법 개정 불필요)</t>
        </is>
      </c>
      <c r="J4" s="7" t="inlineStr">
        <is>
          <t>현대제철 당진제철소</t>
        </is>
      </c>
      <c r="K4" s="6" t="inlineStr">
        <is>
          <t>3~4</t>
        </is>
      </c>
      <c r="L4" s="7" t="inlineStr">
        <is>
          <t>소유 집중(법인) + 보호구역 → 합의비용 낮고 제도 변경 없이 추진 가능. 현대제철 PPA 직결 후보</t>
        </is>
      </c>
    </row>
    <row r="5">
      <c r="A5" s="6" t="inlineStr">
        <is>
          <t>당진/서산</t>
        </is>
      </c>
      <c r="B5" s="7" t="inlineStr">
        <is>
          <t>석문면 교로리 대호간척지</t>
        </is>
      </c>
      <c r="C5" s="6" t="inlineStr">
        <is>
          <t>37.034, 126.496</t>
        </is>
      </c>
      <c r="D5" s="7" t="inlineStr">
        <is>
          <t>법인(농어촌공사·영농법인 추정)</t>
        </is>
      </c>
      <c r="E5" s="8" t="n">
        <v>752</v>
      </c>
      <c r="F5" s="8">
        <f>ROUND(E5*10000*0.045/1000,0)</f>
        <v/>
      </c>
      <c r="G5" s="8">
        <f>ROUND(F5*1.314,0)</f>
        <v/>
      </c>
      <c r="H5" s="7" t="inlineStr">
        <is>
          <t>농업보호구역 749ha (99%)</t>
        </is>
      </c>
      <c r="I5" s="7" t="inlineStr">
        <is>
          <t>농식품부 행정 협의</t>
        </is>
      </c>
      <c r="J5" s="7" t="inlineStr">
        <is>
          <t>석문국가산단(수요 7,127 GWh)</t>
        </is>
      </c>
      <c r="K5" s="6" t="inlineStr">
        <is>
          <t>5~8</t>
        </is>
      </c>
      <c r="L5" s="7" t="inlineStr">
        <is>
          <t>간척지=국유 아님 — 분양 완료로 법인·개인 소유. 단 소수 법인 집중이라 특구 협의 용이</t>
        </is>
      </c>
    </row>
    <row r="6">
      <c r="A6" s="6" t="inlineStr">
        <is>
          <t>천안</t>
        </is>
      </c>
      <c r="B6" s="7" t="inlineStr">
        <is>
          <t>동남구 풍세·광덕 일대</t>
        </is>
      </c>
      <c r="C6" s="6" t="inlineStr">
        <is>
          <t>36.77, 127.09</t>
        </is>
      </c>
      <c r="D6" s="7" t="inlineStr">
        <is>
          <t>국공유</t>
        </is>
      </c>
      <c r="E6" s="8" t="n">
        <v>51</v>
      </c>
      <c r="F6" s="8">
        <f>ROUND(E6*10000*0.045/1000,0)</f>
        <v/>
      </c>
      <c r="G6" s="8">
        <f>ROUND(F6*1.314,0)</f>
        <v/>
      </c>
      <c r="H6" s="7" t="inlineStr">
        <is>
          <t>혼합</t>
        </is>
      </c>
      <c r="I6" s="7" t="inlineStr">
        <is>
          <t>혼합</t>
        </is>
      </c>
      <c r="J6" s="7" t="inlineStr">
        <is>
          <t>천안백석일반산단</t>
        </is>
      </c>
      <c r="K6" s="6" t="inlineStr">
        <is>
          <t>7.3~7.6</t>
        </is>
      </c>
      <c r="L6" s="7" t="inlineStr">
        <is>
          <t>소규모 — 보조 후보</t>
        </is>
      </c>
    </row>
    <row r="7">
      <c r="A7" s="6" t="n"/>
      <c r="B7" s="7" t="n"/>
      <c r="C7" s="6" t="n"/>
      <c r="D7" s="7" t="n"/>
      <c r="E7" s="6" t="n"/>
      <c r="F7" s="6" t="n"/>
      <c r="G7" s="6" t="n"/>
      <c r="H7" s="7" t="n"/>
      <c r="I7" s="7" t="n"/>
      <c r="J7" s="7" t="n"/>
      <c r="K7" s="6" t="n"/>
      <c r="L7" s="7" t="n"/>
    </row>
    <row r="8">
      <c r="A8" s="7" t="inlineStr">
        <is>
          <t>산출 기준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inlineStr">
        <is>
          <t>1</t>
        </is>
      </c>
      <c r="B9" s="7" t="inlineStr">
        <is>
          <t>클러스터 탐지</t>
        </is>
      </c>
      <c r="C9" s="7" t="inlineStr">
        <is>
          <t>0.01도(≈1km) 격자에 국공유/법인 소유 농지 면적 합산 → 셀당 20ha 이상 셀을 8방향 인접 병합. 상위법 규제지역(needs_upper_law) 제외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inlineStr">
        <is>
          <t>2</t>
        </is>
      </c>
      <c r="B10" s="7" t="inlineStr">
        <is>
          <t>데이터 범위 주의</t>
        </is>
      </c>
      <c r="C10" s="7" t="inlineStr">
        <is>
          <t>필지 데이터는 산단·수요처 반경 10km 합집합으로 한정(시군 전체 아님). 화옹지구(화성)·천수만 B지구(서산) 등 범위 밖 간척지는 미포함 — 시군 전수 분석 시 확대 필요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inlineStr">
        <is>
          <t>3</t>
        </is>
      </c>
      <c r="B11" s="7" t="inlineStr">
        <is>
          <t>소유 분류 한계</t>
        </is>
      </c>
      <c r="C11" s="7" t="inlineStr">
        <is>
          <t>토지대장 소유구분 기준 — 농업법인·농어촌공사가 모두 '법인'으로 합산. 농업경영체DB 결합 시 농업법인 식별 가능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inlineStr">
        <is>
          <t>4</t>
        </is>
      </c>
      <c r="B12" s="7" t="inlineStr">
        <is>
          <t>기존 14번 시트와 관계</t>
        </is>
      </c>
      <c r="C12" s="7" t="inlineStr">
        <is>
          <t>14_시군_소유주분포는 필지 수 기준(개인 80~90%) — 본 시트는 면적·연속성 기준 클러스터로, 정책 단위(특구)에 적합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5" min="1" max="1"/>
    <col width="9" customWidth="1" style="5" min="2" max="2"/>
    <col width="40" customWidth="1" style="5" min="3" max="3"/>
    <col width="11" customWidth="1" style="5" min="4" max="4"/>
    <col width="16" customWidth="1" style="5" min="5" max="5"/>
    <col width="50" customWidth="1" style="5" min="6" max="6"/>
    <col width="46" customWidth="1" style="5" min="7" max="7"/>
    <col width="16" customWidth="1" style="5" min="8" max="8"/>
  </cols>
  <sheetData>
    <row r="1">
      <c r="A1" s="9" t="inlineStr">
        <is>
          <t>코드</t>
        </is>
      </c>
      <c r="B1" s="9" t="inlineStr">
        <is>
          <t>발간기관</t>
        </is>
      </c>
      <c r="C1" s="9" t="inlineStr">
        <is>
          <t>자료명</t>
        </is>
      </c>
      <c r="D1" s="9" t="inlineStr">
        <is>
          <t>발간연월</t>
        </is>
      </c>
      <c r="E1" s="9" t="inlineStr">
        <is>
          <t>활용단계(Bardach)</t>
        </is>
      </c>
      <c r="F1" s="9" t="inlineStr">
        <is>
          <t>핵심가치</t>
        </is>
      </c>
      <c r="G1" s="9" t="inlineStr">
        <is>
          <t>URL</t>
        </is>
      </c>
      <c r="H1" s="9" t="inlineStr">
        <is>
          <t>v2_인용절</t>
        </is>
      </c>
    </row>
    <row r="2">
      <c r="A2" s="10" t="inlineStr">
        <is>
          <t>N1</t>
        </is>
      </c>
      <c r="B2" s="10" t="inlineStr">
        <is>
          <t>NARS</t>
        </is>
      </c>
      <c r="C2" s="10" t="inlineStr">
        <is>
          <t>Brief 53호: 전원별 실증사업 성과와 과제(영농형 태양광)</t>
        </is>
      </c>
      <c r="D2" s="10" t="inlineStr">
        <is>
          <t>2024.10</t>
        </is>
      </c>
      <c r="E2" s="10" t="inlineStr">
        <is>
          <t>5,6,7,8</t>
        </is>
      </c>
      <c r="F2" s="10" t="inlineStr">
        <is>
          <t>현장 실무자 7대 제안 — '집적화 단지 지정'이 본 프로젝트 컨셉과 동일</t>
        </is>
      </c>
      <c r="G2" s="11" t="inlineStr">
        <is>
          <t>https://www.nars.go.kr/report/view.do?cmsCode=CM0165&amp;brdSeq=45757</t>
        </is>
      </c>
      <c r="H2" s="10" t="inlineStr">
        <is>
          <t>요약,§2,§6,§8,§10</t>
        </is>
      </c>
    </row>
    <row r="3">
      <c r="A3" s="10" t="inlineStr">
        <is>
          <t>N2</t>
        </is>
      </c>
      <c r="B3" s="10" t="inlineStr">
        <is>
          <t>NARS</t>
        </is>
      </c>
      <c r="C3" s="10" t="inlineStr">
        <is>
          <t>이슈와 논점 2187호: 영농형 태양광 보급 활성화 전략</t>
        </is>
      </c>
      <c r="D3" s="10" t="inlineStr">
        <is>
          <t>2024.02</t>
        </is>
      </c>
      <c r="E3" s="10" t="inlineStr">
        <is>
          <t>3,8</t>
        </is>
      </c>
      <c r="F3" s="10" t="inlineStr">
        <is>
          <t>'두 가지 시대적 과제' 프레임 + 찬반 논의</t>
        </is>
      </c>
      <c r="G3" s="11" t="inlineStr">
        <is>
          <t>https://www.nars.go.kr/report/view.do?cmsCode=CM0043&amp;brdSeq=44065</t>
        </is>
      </c>
      <c r="H3" s="10" t="inlineStr">
        <is>
          <t>요약,§8</t>
        </is>
      </c>
    </row>
    <row r="4">
      <c r="A4" s="12" t="inlineStr">
        <is>
          <t>B1</t>
        </is>
      </c>
      <c r="B4" s="12" t="inlineStr">
        <is>
          <t>NABO</t>
        </is>
      </c>
      <c r="C4" s="12" t="inlineStr">
        <is>
          <t>Focus 79호: 태양광 이격거리 규제 현황과 쟁점</t>
        </is>
      </c>
      <c r="D4" s="12" t="inlineStr">
        <is>
          <t>2024.12</t>
        </is>
      </c>
      <c r="E4" s="12" t="inlineStr">
        <is>
          <t>5,6,7</t>
        </is>
      </c>
      <c r="F4" s="12" t="inlineStr">
        <is>
          <t>충남 잠재입지면적 감소 상위 — 후보지 직접 영향, 영농형 이격거리 특례</t>
        </is>
      </c>
      <c r="G4" s="13" t="inlineStr">
        <is>
          <t>https://www.nabo.go.kr/system/common/JSPservlet/download.jsp?fCode=33318350</t>
        </is>
      </c>
      <c r="H4" s="12" t="inlineStr">
        <is>
          <t>§5,§8</t>
        </is>
      </c>
    </row>
    <row r="5">
      <c r="A5" s="14" t="inlineStr">
        <is>
          <t>E1</t>
        </is>
      </c>
      <c r="B5" s="14" t="inlineStr">
        <is>
          <t>KEEI</t>
        </is>
      </c>
      <c r="C5" s="14" t="inlineStr">
        <is>
          <t>영농형 태양광 설치 의향 결정요인 분석</t>
        </is>
      </c>
      <c r="D5" s="14" t="inlineStr">
        <is>
          <t>2026.06</t>
        </is>
      </c>
      <c r="E5" s="14" t="inlineStr">
        <is>
          <t>5,6,7</t>
        </is>
      </c>
      <c r="F5" s="14" t="inlineStr">
        <is>
          <t>최신 자료 — 행위자(소유유형별) 의사결정 모형</t>
        </is>
      </c>
      <c r="G5" s="15" t="inlineStr">
        <is>
          <t>https://eiec.kdi.re.kr/policy/domesticView.do?ac=0000205643</t>
        </is>
      </c>
      <c r="H5" s="14" t="inlineStr">
        <is>
          <t>§7,§11</t>
        </is>
      </c>
    </row>
    <row r="6">
      <c r="A6" s="14" t="inlineStr">
        <is>
          <t>E2</t>
        </is>
      </c>
      <c r="B6" s="14" t="inlineStr">
        <is>
          <t>KEEI</t>
        </is>
      </c>
      <c r="C6" s="14" t="inlineStr">
        <is>
          <t>인사이트 24-14호: 영농형 태양광 논의 동향과 시사점</t>
        </is>
      </c>
      <c r="D6" s="14" t="inlineStr">
        <is>
          <t>2024.07</t>
        </is>
      </c>
      <c r="E6" s="14" t="inlineStr">
        <is>
          <t>5,6,7,8</t>
        </is>
      </c>
      <c r="F6" s="14" t="inlineStr">
        <is>
          <t>한국 잠재량 682GW + NREL 5C + 8→23년 허가 연장</t>
        </is>
      </c>
      <c r="G6" s="15" t="inlineStr">
        <is>
          <t>https://www.keei.re.kr/board.es?mid=a10103020000&amp;bid=0014&amp;act=view&amp;list_no=123184</t>
        </is>
      </c>
      <c r="H6" s="14" t="inlineStr">
        <is>
          <t>§2,§6,§8,§9,§10</t>
        </is>
      </c>
    </row>
    <row r="7">
      <c r="A7" s="16" t="inlineStr">
        <is>
          <t>K1</t>
        </is>
      </c>
      <c r="B7" s="16" t="inlineStr">
        <is>
          <t>KREI</t>
        </is>
      </c>
      <c r="C7" s="16" t="inlineStr">
        <is>
          <t>P293: 영농형 태양광 경제성 분석과 정책적 시사점</t>
        </is>
      </c>
      <c r="D7" s="16" t="inlineStr">
        <is>
          <t>2023(추정)</t>
        </is>
      </c>
      <c r="E7" s="16" t="inlineStr">
        <is>
          <t>5,6</t>
        </is>
      </c>
      <c r="F7" s="16" t="inlineStr">
        <is>
          <t>시나리오별 IRR/NPV + 농민 수용성 — '설치비가 수익성 지배변수'</t>
        </is>
      </c>
      <c r="G7" s="17" t="inlineStr">
        <is>
          <t>https://repository.krei.re.kr/bitstream/2018.oak/30971/1/P293.pdf</t>
        </is>
      </c>
      <c r="H7" s="16" t="inlineStr">
        <is>
          <t>§6,§6.2.1</t>
        </is>
      </c>
    </row>
    <row r="8">
      <c r="A8" s="16" t="inlineStr">
        <is>
          <t>K2</t>
        </is>
      </c>
      <c r="B8" s="16" t="inlineStr">
        <is>
          <t>KREI</t>
        </is>
      </c>
      <c r="C8" s="16" t="inlineStr">
        <is>
          <t>R747: 농업농촌분야 사회갈등 관리실태와 개선과제</t>
        </is>
      </c>
      <c r="D8" s="16" t="inlineStr">
        <is>
          <t>2015.10</t>
        </is>
      </c>
      <c r="E8" s="16" t="inlineStr">
        <is>
          <t>4,6</t>
        </is>
      </c>
      <c r="F8" s="16" t="inlineStr">
        <is>
          <t>화옹지구·밀양 송전탑 선례 — 반대 논거 사전 흡수, 주민참여 거버넌스</t>
        </is>
      </c>
      <c r="G8" s="17" t="inlineStr">
        <is>
          <t>https://repository.krei.re.kr/bitstream/2018.oak/21438/1/R747.pdf</t>
        </is>
      </c>
      <c r="H8" s="16" t="inlineStr">
        <is>
          <t>§7,§8</t>
        </is>
      </c>
    </row>
    <row r="9">
      <c r="A9" s="16" t="inlineStr">
        <is>
          <t>K3</t>
        </is>
      </c>
      <c r="B9" s="16" t="inlineStr">
        <is>
          <t>KEI</t>
        </is>
      </c>
      <c r="C9" s="16" t="inlineStr">
        <is>
          <t>신동원 외(2021): 영농형 태양광 정책방안 마련 연구</t>
        </is>
      </c>
      <c r="D9" s="16" t="inlineStr">
        <is>
          <t>2021</t>
        </is>
      </c>
      <c r="E9" s="16" t="inlineStr">
        <is>
          <t>3,7</t>
        </is>
      </c>
      <c r="F9" s="16" t="inlineStr">
        <is>
          <t>한국 영농형 정책 권고의 원천 — 12개 정책 도구(REC·집적화·허가연장·임차농 보장)</t>
        </is>
      </c>
      <c r="G9" s="17" t="inlineStr">
        <is>
          <t>https://scienceon.kisti.re.kr/srch/selectPORSrchReport.do?cn=TRKO202200017649</t>
        </is>
      </c>
      <c r="H9" s="16" t="inlineStr">
        <is>
          <t>§2,§6,§8,§9,§10</t>
        </is>
      </c>
    </row>
    <row r="10">
      <c r="A10" s="18" t="inlineStr">
        <is>
          <t>L1</t>
        </is>
      </c>
      <c r="B10" s="18" t="inlineStr">
        <is>
          <t>KRIHS</t>
        </is>
      </c>
      <c r="C10" s="18" t="inlineStr">
        <is>
          <t>(탐색 권장) 공간계획·입지선정·갈등관리 자료</t>
        </is>
      </c>
      <c r="D10" s="18" t="inlineStr">
        <is>
          <t>-</t>
        </is>
      </c>
      <c r="E10" s="18" t="inlineStr">
        <is>
          <t>7</t>
        </is>
      </c>
      <c r="F10" s="18" t="inlineStr">
        <is>
          <t>시군 단위 마스터플랜 단계 활용 — 별도 검색 필요</t>
        </is>
      </c>
      <c r="G10" s="19" t="inlineStr">
        <is>
          <t>https://www.krihs.re.kr/publica/searchList.do</t>
        </is>
      </c>
      <c r="H10" s="18" t="inlineStr">
        <is>
          <t>(후속)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" min="1" max="1"/>
    <col width="28" customWidth="1" style="5" min="2" max="2"/>
    <col width="8" customWidth="1" style="5" min="3" max="3"/>
    <col width="14" customWidth="1" style="5" min="4" max="4"/>
    <col width="16" customWidth="1" style="5" min="5" max="5"/>
    <col width="34" customWidth="1" style="5" min="6" max="6"/>
    <col width="26" customWidth="1" style="5" min="7" max="7"/>
  </cols>
  <sheetData>
    <row r="1">
      <c r="A1" s="9" t="inlineStr">
        <is>
          <t>단계</t>
        </is>
      </c>
      <c r="B1" s="9" t="inlineStr">
        <is>
          <t>단계명(영문/한글)</t>
        </is>
      </c>
      <c r="C1" s="9" t="inlineStr">
        <is>
          <t>v1 충족</t>
        </is>
      </c>
      <c r="D1" s="9" t="inlineStr">
        <is>
          <t>v2 보강 절</t>
        </is>
      </c>
      <c r="E1" s="9" t="inlineStr">
        <is>
          <t>활용 참고문헌</t>
        </is>
      </c>
      <c r="F1" s="9" t="inlineStr">
        <is>
          <t>주요 산출물</t>
        </is>
      </c>
      <c r="G1" s="9" t="inlineStr">
        <is>
          <t>다음 작업</t>
        </is>
      </c>
    </row>
    <row r="2">
      <c r="A2" s="20" t="inlineStr">
        <is>
          <t>1</t>
        </is>
      </c>
      <c r="B2" s="20" t="inlineStr">
        <is>
          <t>Define the Problem / 문제 정의</t>
        </is>
      </c>
      <c r="C2" s="21" t="inlineStr">
        <is>
          <t>✅</t>
        </is>
      </c>
      <c r="D2" s="20" t="inlineStr">
        <is>
          <t>요약·§1</t>
        </is>
      </c>
      <c r="E2" s="20" t="inlineStr">
        <is>
          <t>N2</t>
        </is>
      </c>
      <c r="F2" s="20" t="inlineStr">
        <is>
          <t>산단 반경 방식의 한계 + 소유 기반 대안</t>
        </is>
      </c>
      <c r="G2" s="20" t="inlineStr">
        <is>
          <t>—</t>
        </is>
      </c>
    </row>
    <row r="3">
      <c r="A3" s="20" t="inlineStr">
        <is>
          <t>2</t>
        </is>
      </c>
      <c r="B3" s="20" t="inlineStr">
        <is>
          <t>Assemble Evidence / 근거 수집</t>
        </is>
      </c>
      <c r="C3" s="21" t="inlineStr">
        <is>
          <t>✅</t>
        </is>
      </c>
      <c r="D3" s="20" t="inlineStr">
        <is>
          <t>§1~§4</t>
        </is>
      </c>
      <c r="E3" s="20" t="inlineStr">
        <is>
          <t>—</t>
        </is>
      </c>
      <c r="F3" s="20" t="inlineStr">
        <is>
          <t>13개 시군 100만+ 필지 클러스터 분석</t>
        </is>
      </c>
      <c r="G3" s="20" t="inlineStr">
        <is>
          <t>범위 확장(§11-5)</t>
        </is>
      </c>
    </row>
    <row r="4">
      <c r="A4" s="20" t="inlineStr">
        <is>
          <t>3</t>
        </is>
      </c>
      <c r="B4" s="20" t="inlineStr">
        <is>
          <t>Construct Alternatives / 대안 구성</t>
        </is>
      </c>
      <c r="C4" s="22" t="inlineStr">
        <is>
          <t>⚠️</t>
        </is>
      </c>
      <c r="D4" s="20" t="inlineStr">
        <is>
          <t>§2·§10</t>
        </is>
      </c>
      <c r="E4" s="20" t="inlineStr">
        <is>
          <t>N2,K3</t>
        </is>
      </c>
      <c r="F4" s="20" t="inlineStr">
        <is>
          <t>후보 4개 + 입법 시나리오 3종</t>
        </is>
      </c>
      <c r="G4" s="20" t="inlineStr">
        <is>
          <t>도구별 조합 매핑</t>
        </is>
      </c>
    </row>
    <row r="5">
      <c r="A5" s="20" t="inlineStr">
        <is>
          <t>4</t>
        </is>
      </c>
      <c r="B5" s="20" t="inlineStr">
        <is>
          <t>Select Criteria / 기준 선정</t>
        </is>
      </c>
      <c r="C5" s="22" t="inlineStr">
        <is>
          <t>⚠️</t>
        </is>
      </c>
      <c r="D5" s="20" t="inlineStr">
        <is>
          <t>§7·§8</t>
        </is>
      </c>
      <c r="E5" s="20" t="inlineStr">
        <is>
          <t>K2</t>
        </is>
      </c>
      <c r="F5" s="20" t="inlineStr">
        <is>
          <t>면적·잠재량·법단계+수용성·정치비용</t>
        </is>
      </c>
      <c r="G5" s="20" t="inlineStr">
        <is>
          <t>정량 가중치</t>
        </is>
      </c>
    </row>
    <row r="6">
      <c r="A6" s="23" t="inlineStr">
        <is>
          <t>5</t>
        </is>
      </c>
      <c r="B6" s="23" t="inlineStr">
        <is>
          <t>Project Outcomes / 결과 예측</t>
        </is>
      </c>
      <c r="C6" s="24" t="inlineStr">
        <is>
          <t>❌→✅</t>
        </is>
      </c>
      <c r="D6" s="23" t="inlineStr">
        <is>
          <t>§6.2.1</t>
        </is>
      </c>
      <c r="E6" s="23" t="inlineStr">
        <is>
          <t>K1,E2,B1</t>
        </is>
      </c>
      <c r="F6" s="23" t="inlineStr">
        <is>
          <t>후보×시나리오 IRR/NPV/회수기간</t>
        </is>
      </c>
      <c r="G6" s="23" t="inlineStr">
        <is>
          <t>일자리·CO₂·이격규제 실효치</t>
        </is>
      </c>
    </row>
    <row r="7">
      <c r="A7" s="23" t="inlineStr">
        <is>
          <t>6</t>
        </is>
      </c>
      <c r="B7" s="23" t="inlineStr">
        <is>
          <t>Confront Trade-offs / 트레이드오프</t>
        </is>
      </c>
      <c r="C7" s="24" t="inlineStr">
        <is>
          <t>❌→✅</t>
        </is>
      </c>
      <c r="D7" s="23" t="inlineStr">
        <is>
          <t>§6,§7,§8</t>
        </is>
      </c>
      <c r="E7" s="23" t="inlineStr">
        <is>
          <t>K1,K2,N1</t>
        </is>
      </c>
      <c r="F7" s="23" t="inlineStr">
        <is>
          <t>속도vs정당성 매트릭스, 반대-대응표</t>
        </is>
      </c>
      <c r="G7" s="23" t="inlineStr">
        <is>
          <t>수용성 정량화(E1)</t>
        </is>
      </c>
    </row>
    <row r="8">
      <c r="A8" s="23" t="inlineStr">
        <is>
          <t>7</t>
        </is>
      </c>
      <c r="B8" s="23" t="inlineStr">
        <is>
          <t>Decide / 결정</t>
        </is>
      </c>
      <c r="C8" s="24" t="inlineStr">
        <is>
          <t>❌→✅</t>
        </is>
      </c>
      <c r="D8" s="23" t="inlineStr">
        <is>
          <t>§10</t>
        </is>
      </c>
      <c r="E8" s="23" t="inlineStr">
        <is>
          <t>N1,K3,E2</t>
        </is>
      </c>
      <c r="F8" s="23" t="inlineStr">
        <is>
          <t>3개 권고(Pilot→특구→입법대응)</t>
        </is>
      </c>
      <c r="G8" s="23" t="inlineStr">
        <is>
          <t>—</t>
        </is>
      </c>
    </row>
    <row r="9">
      <c r="A9" s="23" t="inlineStr">
        <is>
          <t>8</t>
        </is>
      </c>
      <c r="B9" s="23" t="inlineStr">
        <is>
          <t>Tell the Story / 스토리텔링</t>
        </is>
      </c>
      <c r="C9" s="24" t="inlineStr">
        <is>
          <t>❌→△</t>
        </is>
      </c>
      <c r="D9" s="23" t="inlineStr">
        <is>
          <t>§9·요약</t>
        </is>
      </c>
      <c r="E9" s="23" t="inlineStr">
        <is>
          <t>N2,B1</t>
        </is>
      </c>
      <c r="F9" s="23" t="inlineStr">
        <is>
          <t>로드맵 T+0/6/18/36</t>
        </is>
      </c>
      <c r="G9" s="23" t="inlineStr">
        <is>
          <t>청중별 1pager 3종(미작성)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style="5" min="1" max="1"/>
    <col width="40" customWidth="1" style="5" min="2" max="2"/>
    <col width="40" customWidth="1" style="5" min="3" max="3"/>
    <col width="34" customWidth="1" style="5" min="4" max="4"/>
    <col width="22" customWidth="1" style="5" min="5" max="5"/>
  </cols>
  <sheetData>
    <row r="1">
      <c r="A1" s="25" t="inlineStr">
        <is>
          <t>■ 영농형 특구 후보 클러스터 — 순위·공동 자급 계산 방법론</t>
        </is>
      </c>
    </row>
    <row r="2">
      <c r="A2" s="26" t="inlineStr">
        <is>
          <t>지도 패널 「순위 근거」·「산단 매칭·공동 자급 기여」 계산식. 시나리오 S0(현행법)/S3(특별법)/S_MAX(이론최대). 가중치 임의성 제거: Pareto 비지배 ∩ SMAA.</t>
        </is>
      </c>
    </row>
    <row r="4">
      <c r="A4" s="27" t="inlineStr">
        <is>
          <t>0. 기본 상수</t>
        </is>
      </c>
    </row>
    <row r="5">
      <c r="A5" s="28" t="inlineStr">
        <is>
          <t>상수</t>
        </is>
      </c>
      <c r="B5" s="28" t="inlineStr">
        <is>
          <t>값</t>
        </is>
      </c>
      <c r="C5" s="28" t="inlineStr">
        <is>
          <t>의미</t>
        </is>
      </c>
      <c r="D5" s="28" t="inlineStr">
        <is>
          <t>근거</t>
        </is>
      </c>
      <c r="E5" s="28" t="inlineStr">
        <is>
          <t>비고</t>
        </is>
      </c>
    </row>
    <row r="6">
      <c r="A6" s="29" t="inlineStr">
        <is>
          <t>Power Density</t>
        </is>
      </c>
      <c r="B6" s="29" t="inlineStr">
        <is>
          <t>0.045 kW/㎡</t>
        </is>
      </c>
      <c r="C6" s="29" t="inlineStr">
        <is>
          <t>공유형 영농형 밀도 = 차광률 22.5% × 패널효율 20%</t>
        </is>
      </c>
      <c r="D6" s="29" t="inlineStr">
        <is>
          <t>전남 영암 실증 역산(1,000㎡→45kW)</t>
        </is>
      </c>
      <c r="E6" s="29" t="inlineStr">
        <is>
          <t>타 시트 3_발전식과 동일</t>
        </is>
      </c>
    </row>
    <row r="7">
      <c r="A7" s="29" t="inlineStr">
        <is>
          <t>연간 이용시간</t>
        </is>
      </c>
      <c r="B7" s="29" t="inlineStr">
        <is>
          <t>1,314 h/년</t>
        </is>
      </c>
      <c r="C7" s="29" t="inlineStr">
        <is>
          <t>8,760 h × 설비이용률 15%</t>
        </is>
      </c>
      <c r="D7" s="29" t="inlineStr">
        <is>
          <t>한국전력거래소(EPSIS) 14–15%</t>
        </is>
      </c>
      <c r="E7" s="29" t="inlineStr">
        <is>
          <t>genGwh(mw)=mw×1.314</t>
        </is>
      </c>
    </row>
    <row r="8">
      <c r="A8" s="29" t="inlineStr">
        <is>
          <t>앵커 제약</t>
        </is>
      </c>
      <c r="B8" s="29" t="inlineStr">
        <is>
          <t>개인소유 ≤ 50%</t>
        </is>
      </c>
      <c r="C8" s="29" t="inlineStr">
        <is>
          <t>비개인(국·공유·법인·종중) 앵커가 사업 주도</t>
        </is>
      </c>
      <c r="D8" s="29" t="inlineStr">
        <is>
          <t>사업 추진 용이도 가정</t>
        </is>
      </c>
      <c r="E8" s="29" t="inlineStr">
        <is>
          <t>면적가중 비율</t>
        </is>
      </c>
    </row>
    <row r="9">
      <c r="A9" s="29" t="inlineStr">
        <is>
          <t>최소 규모</t>
        </is>
      </c>
      <c r="B9" s="29" t="inlineStr">
        <is>
          <t>≥ 50 MW</t>
        </is>
      </c>
      <c r="C9" s="29" t="inlineStr">
        <is>
          <t>RE100 특구급 규모 하한 (S3/S_MAX)</t>
        </is>
      </c>
      <c r="D9" s="29" t="inlineStr">
        <is>
          <t>신안 영농형 사례</t>
        </is>
      </c>
      <c r="E9" s="29" t="inlineStr"/>
    </row>
    <row r="10">
      <c r="A10" s="29" t="inlineStr">
        <is>
          <t>인근 산단 반경</t>
        </is>
      </c>
      <c r="B10" s="29" t="inlineStr">
        <is>
          <t>≤ 10 km</t>
        </is>
      </c>
      <c r="C10" s="29" t="inlineStr">
        <is>
          <t>전력 공유(자가소비·직접PPA) 현실 반경</t>
        </is>
      </c>
      <c r="D10" s="29" t="inlineStr">
        <is>
          <t>분산에너지 가정</t>
        </is>
      </c>
      <c r="E10" s="29" t="inlineStr">
        <is>
          <t>공동 자급 기여 §3</t>
        </is>
      </c>
    </row>
    <row r="12">
      <c r="A12" s="27" t="inlineStr">
        <is>
          <t>1. 후보 단위 지표 (한 클러스터당)</t>
        </is>
      </c>
    </row>
    <row r="13">
      <c r="A13" s="28" t="inlineStr">
        <is>
          <t>변수</t>
        </is>
      </c>
      <c r="B13" s="28" t="inlineStr">
        <is>
          <t>수식</t>
        </is>
      </c>
      <c r="C13" s="28" t="inlineStr">
        <is>
          <t>수치_대입 (보령 #1)</t>
        </is>
      </c>
      <c r="D13" s="28" t="inlineStr">
        <is>
          <t>설명</t>
        </is>
      </c>
      <c r="E13" s="28" t="inlineStr">
        <is>
          <t>단위</t>
        </is>
      </c>
    </row>
    <row r="14">
      <c r="A14" s="29" t="inlineStr">
        <is>
          <t>설비용량 mw</t>
        </is>
      </c>
      <c r="B14" s="29" t="inlineStr">
        <is>
          <t>면적_㎡ × 0.045 / 1000</t>
        </is>
      </c>
      <c r="C14" s="29" t="inlineStr">
        <is>
          <t>2,111,195 × 0.045 / 1000 = 95.0</t>
        </is>
      </c>
      <c r="D14" s="29" t="inlineStr">
        <is>
          <t>면적가중 설비용량</t>
        </is>
      </c>
      <c r="E14" s="29" t="inlineStr">
        <is>
          <t>MW</t>
        </is>
      </c>
    </row>
    <row r="15">
      <c r="A15" s="29" t="inlineStr">
        <is>
          <t>연간 발전량 gen</t>
        </is>
      </c>
      <c r="B15" s="29" t="inlineStr">
        <is>
          <t>mw × 1,314 / 1000</t>
        </is>
      </c>
      <c r="C15" s="29" t="inlineStr">
        <is>
          <t>95 × 1.314 = 124.8</t>
        </is>
      </c>
      <c r="D15" s="29" t="inlineStr">
        <is>
          <t>클러스터 연간 발전량</t>
        </is>
      </c>
      <c r="E15" s="29" t="inlineStr">
        <is>
          <t>GWh/년</t>
        </is>
      </c>
    </row>
    <row r="16">
      <c r="A16" s="29" t="inlineStr">
        <is>
          <t>개인소유 비율 ratio</t>
        </is>
      </c>
      <c r="B16" s="29" t="inlineStr">
        <is>
          <t>개인필지_면적합 / 전체_면적합 × 100</t>
        </is>
      </c>
      <c r="C16" s="29" t="inlineStr">
        <is>
          <t>1,053,559 / 2,111,195 = 49.9</t>
        </is>
      </c>
      <c r="D16" s="29" t="inlineStr">
        <is>
          <t>면적가중(필지수 아님). 앵커 ≤50%</t>
        </is>
      </c>
      <c r="E16" s="29" t="inlineStr">
        <is>
          <t>%</t>
        </is>
      </c>
    </row>
    <row r="17">
      <c r="A17" s="29" t="inlineStr">
        <is>
          <t>최근접 거리 dist_km</t>
        </is>
      </c>
      <c r="B17" s="29" t="inlineStr">
        <is>
          <t>클러스터 중심 ↔ 최근접 산단 직선거리</t>
        </is>
      </c>
      <c r="C17" s="29" t="inlineStr">
        <is>
          <t>1.14</t>
        </is>
      </c>
      <c r="D17" s="29" t="inlineStr">
        <is>
          <t>proximity 지표(작을수록 좋음)</t>
        </is>
      </c>
      <c r="E17" s="29" t="inlineStr">
        <is>
          <t>km</t>
        </is>
      </c>
    </row>
    <row r="18">
      <c r="A18" s="29" t="inlineStr">
        <is>
          <t>최근접 수요 demand_gwh</t>
        </is>
      </c>
      <c r="B18" s="29" t="inlineStr">
        <is>
          <t>최근접 산단 1곳 연간 전력수요</t>
        </is>
      </c>
      <c r="C18" s="29" t="inlineStr">
        <is>
          <t>15.0</t>
        </is>
      </c>
      <c r="D18" s="29" t="inlineStr">
        <is>
          <t>demand 지표(클수록 좋음)</t>
        </is>
      </c>
      <c r="E18" s="29" t="inlineStr">
        <is>
          <t>GWh/년</t>
        </is>
      </c>
    </row>
    <row r="20">
      <c r="A20" s="27" t="inlineStr">
        <is>
          <t>2. 순위 산정 — 가중치 임의성 제거 2단계 (지표: 규모 MW↑ · 근접 거리↓ · 수요 GWh↑)</t>
        </is>
      </c>
    </row>
    <row r="21">
      <c r="A21" s="28" t="inlineStr">
        <is>
          <t>기법</t>
        </is>
      </c>
      <c r="B21" s="28" t="inlineStr">
        <is>
          <t>정의</t>
        </is>
      </c>
      <c r="C21" s="28" t="inlineStr">
        <is>
          <t>계산</t>
        </is>
      </c>
      <c r="D21" s="28" t="inlineStr">
        <is>
          <t>UI 표기</t>
        </is>
      </c>
      <c r="E21" s="28" t="inlineStr">
        <is>
          <t>필드</t>
        </is>
      </c>
    </row>
    <row r="22">
      <c r="A22" s="30" t="inlineStr">
        <is>
          <t>① Pareto 비지배</t>
        </is>
      </c>
      <c r="B22" s="30" t="inlineStr">
        <is>
          <t>세 지표 모두 같거나 뒤지고 하나라도 분명히 뒤지면 '지배'당함. 어떤 후보에게도 지배당하지 않으면 비지배(1층).</t>
        </is>
      </c>
      <c r="C22" s="30" t="inlineStr">
        <is>
          <t>1층 제거 후 남은 비지배=2층 … 식으로 층 부여</t>
        </is>
      </c>
      <c r="D22" s="30" t="inlineStr">
        <is>
          <t>pareto_layer=1 → 「3대 기준 모두 최상위 ✓」 / 그 외 → 「종합 N순위군」</t>
        </is>
      </c>
      <c r="E22" s="30" t="inlineStr">
        <is>
          <t>pareto_layer</t>
        </is>
      </c>
    </row>
    <row r="23">
      <c r="A23" s="30" t="inlineStr">
        <is>
          <t>② SMAA 1위확률</t>
        </is>
      </c>
      <c r="B23" s="30" t="inlineStr">
        <is>
          <t>가중치(w_scale,w_prox,w_dem) 합=1인 전체 공간을 무작위 N회 샘플링, 각 조합서 1위 가림.</t>
        </is>
      </c>
      <c r="C23" s="30" t="inlineStr">
        <is>
          <t>score=w_s·n(MW)+w_p·n(거리⁻)+w_d·n(수요); n()=후보군 min–max 정규화. rank1_pct=1위된 조합 비율</t>
        </is>
      </c>
      <c r="D23" s="30" t="inlineStr">
        <is>
          <t>「평가비중 무관 1위 75.2%」 (≥50% 강조)</t>
        </is>
      </c>
      <c r="E23" s="30" t="inlineStr">
        <is>
          <t>smaa_rank1_pct</t>
        </is>
      </c>
    </row>
    <row r="24">
      <c r="A24" s="29" t="inlineStr">
        <is>
          <t>최종 순위</t>
        </is>
      </c>
      <c r="B24" s="29" t="inlineStr">
        <is>
          <t>smaa_rank1_pct 내림차순</t>
        </is>
      </c>
      <c r="C24" s="29" t="inlineStr">
        <is>
          <t>보령: #1=75.2% → #2=24.8%</t>
        </is>
      </c>
      <c r="D24" s="29" t="inlineStr">
        <is>
          <t>특구 후보 #1, #2 …</t>
        </is>
      </c>
      <c r="E24" s="29" t="inlineStr">
        <is>
          <t>smaa_rank</t>
        </is>
      </c>
    </row>
    <row r="25">
      <c r="A25" s="26" t="inlineStr">
        <is>
          <t>※ 두 기법 교집합 → 분석자의 가중치 선택이 순위를 좌우하지 않음. UI 문구: "어떤 항목을 더 중시하든 순위가 거의 바뀌지 않습니다."</t>
        </is>
      </c>
    </row>
    <row r="27">
      <c r="A27" s="27" t="inlineStr">
        <is>
          <t>3. 산단 매칭 · 공동 자급 기여 ★ (반경 10km 내 여러 산단 동시 감당력)</t>
        </is>
      </c>
    </row>
    <row r="28">
      <c r="A28" s="28" t="inlineStr">
        <is>
          <t>변수</t>
        </is>
      </c>
      <c r="B28" s="28" t="inlineStr">
        <is>
          <t>수식</t>
        </is>
      </c>
      <c r="C28" s="28" t="inlineStr">
        <is>
          <t>수치_대입 (보령 #1)</t>
        </is>
      </c>
      <c r="D28" s="28" t="inlineStr">
        <is>
          <t>단위</t>
        </is>
      </c>
      <c r="E28" s="28" t="inlineStr">
        <is>
          <t>비고</t>
        </is>
      </c>
    </row>
    <row r="29">
      <c r="A29" s="30" t="inlineStr">
        <is>
          <t>인근 산단 nearby_complexes</t>
        </is>
      </c>
      <c r="B29" s="30" t="inlineStr">
        <is>
          <t>중심 ≤10km 내 모든 산단(이름·거리·수요)</t>
        </is>
      </c>
      <c r="C29" s="30" t="inlineStr">
        <is>
          <t>주포제2(1.15·15.0)·주포(1.81·17.3)·청소(2.99·15.3)</t>
        </is>
      </c>
      <c r="D29" s="30" t="inlineStr">
        <is>
          <t>—</t>
        </is>
      </c>
      <c r="E29" s="30" t="inlineStr">
        <is>
          <t>3곳</t>
        </is>
      </c>
    </row>
    <row r="30">
      <c r="A30" s="30" t="inlineStr">
        <is>
          <t>공동 전력수요 combined_demand_gwh</t>
        </is>
      </c>
      <c r="B30" s="30" t="inlineStr">
        <is>
          <t>Σ(인근 산단 각 demand_gwh)</t>
        </is>
      </c>
      <c r="C30" s="30" t="inlineStr">
        <is>
          <t>15.0 + 17.3 + 15.3 = 47.6</t>
        </is>
      </c>
      <c r="D30" s="30" t="inlineStr">
        <is>
          <t>GWh/년</t>
        </is>
      </c>
      <c r="E30" s="30" t="inlineStr">
        <is>
          <t>≈48</t>
        </is>
      </c>
    </row>
    <row r="31">
      <c r="A31" s="30" t="inlineStr">
        <is>
          <t>클러스터 발전 gen</t>
        </is>
      </c>
      <c r="B31" s="30" t="inlineStr">
        <is>
          <t>mw × 1,314 / 1000</t>
        </is>
      </c>
      <c r="C31" s="30" t="inlineStr">
        <is>
          <t>95 × 1.314 = 124.8</t>
        </is>
      </c>
      <c r="D31" s="30" t="inlineStr">
        <is>
          <t>GWh/년</t>
        </is>
      </c>
      <c r="E31" s="30" t="inlineStr">
        <is>
          <t>≈125</t>
        </is>
      </c>
    </row>
    <row r="32">
      <c r="A32" s="30" t="inlineStr">
        <is>
          <t>공동 자급 기여 contrib</t>
        </is>
      </c>
      <c r="B32" s="30" t="inlineStr">
        <is>
          <t>gen / combined_demand_gwh × 100</t>
        </is>
      </c>
      <c r="C32" s="30" t="inlineStr">
        <is>
          <t>124.8 / 47.6 × 100 = 262</t>
        </is>
      </c>
      <c r="D32" s="30" t="inlineStr">
        <is>
          <t>%</t>
        </is>
      </c>
      <c r="E32" s="30" t="inlineStr">
        <is>
          <t>★ 핵심 지표</t>
        </is>
      </c>
    </row>
    <row r="33">
      <c r="A33" s="30" t="inlineStr">
        <is>
          <t>최우선 매칭</t>
        </is>
      </c>
      <c r="B33" s="30" t="inlineStr">
        <is>
          <t>최근접 산단 nearest_complex (dist_km)</t>
        </is>
      </c>
      <c r="C33" s="30" t="inlineStr">
        <is>
          <t>주포제2농공단지 (1.14 km)</t>
        </is>
      </c>
      <c r="D33" s="30" t="inlineStr">
        <is>
          <t>—</t>
        </is>
      </c>
      <c r="E33" s="30" t="inlineStr"/>
    </row>
    <row r="34">
      <c r="A34" s="31" t="inlineStr">
        <is>
          <t>⚠ 인접 후보의 10km 반경이 겹치면 동일 농지·산단이 양쪽 중복 계산 가능. 동시 추진 시 smaa_rank 우선순위로 한쪽에만 배정해 정리.</t>
        </is>
      </c>
    </row>
    <row r="36">
      <c r="A36" s="27" t="inlineStr">
        <is>
          <t>4. 데이터 흐름 · 산출물</t>
        </is>
      </c>
    </row>
    <row r="37">
      <c r="A37" s="28" t="inlineStr">
        <is>
          <t>단계</t>
        </is>
      </c>
      <c r="B37" s="28" t="inlineStr">
        <is>
          <t>산출물 / 파일</t>
        </is>
      </c>
      <c r="C37" s="28" t="inlineStr">
        <is>
          <t>비고</t>
        </is>
      </c>
      <c r="D37" s="28" t="inlineStr"/>
      <c r="E37" s="28" t="inlineStr"/>
    </row>
    <row r="38">
      <c r="A38" s="29" t="inlineStr">
        <is>
          <t>입력</t>
        </is>
      </c>
      <c r="B38" s="29" t="inlineStr">
        <is>
          <t>필지(팜맵+소유주) → 클러스터링</t>
        </is>
      </c>
      <c r="C38" s="29" t="inlineStr">
        <is>
          <t>개인≤50% &amp; ≥50MW 앵커 클러스터</t>
        </is>
      </c>
      <c r="D38" s="29" t="inlineStr"/>
      <c r="E38" s="29" t="inlineStr"/>
    </row>
    <row r="39">
      <c r="A39" s="29" t="inlineStr">
        <is>
          <t>순위 산출</t>
        </is>
      </c>
      <c r="B39" s="29" t="inlineStr">
        <is>
          <t>{prefix}_clusters_ranked_{scen}.json</t>
        </is>
      </c>
      <c r="C39" s="29" t="inlineStr">
        <is>
          <t>pareto_layer·smaa_rank1_pct·smaa_rank 포함</t>
        </is>
      </c>
      <c r="D39" s="29" t="inlineStr"/>
      <c r="E39" s="29" t="inlineStr"/>
    </row>
    <row r="40">
      <c r="A40" s="29" t="inlineStr">
        <is>
          <t>폴리곤</t>
        </is>
      </c>
      <c r="B40" s="29" t="inlineStr">
        <is>
          <t>{prefix}_clusters_{scen}.geojson</t>
        </is>
      </c>
      <c r="C40" s="29" t="inlineStr">
        <is>
          <t>ownership·nearby_complexes·combined_demand_gwh 포함</t>
        </is>
      </c>
      <c r="D40" s="29" t="inlineStr"/>
      <c r="E40" s="29" t="inlineStr"/>
    </row>
    <row r="41">
      <c r="A41" s="29" t="inlineStr">
        <is>
          <t>DB 적재</t>
        </is>
      </c>
      <c r="B41" s="29" t="inlineStr">
        <is>
          <t>cluster_db/load_clusters.py → clusters.db</t>
        </is>
      </c>
      <c r="C41" s="29" t="inlineStr">
        <is>
          <t>schema.sql 정의</t>
        </is>
      </c>
      <c r="D41" s="29" t="inlineStr"/>
      <c r="E41" s="29" t="inlineStr"/>
    </row>
    <row r="42">
      <c r="A42" s="29" t="inlineStr">
        <is>
          <t>렌더</t>
        </is>
      </c>
      <c r="B42" s="29" t="inlineStr">
        <is>
          <t>각 *_map.html openDrawer()·genGwh()</t>
        </is>
      </c>
      <c r="C42" s="29" t="inlineStr">
        <is>
          <t>패널 순위근거·공동자급 섹션</t>
        </is>
      </c>
      <c r="D42" s="29" t="inlineStr"/>
      <c r="E42" s="29" t="inlineStr"/>
    </row>
    <row r="43">
      <c r="A43" s="29" t="inlineStr">
        <is>
          <t>방법론 문서</t>
        </is>
      </c>
      <c r="B43" s="29" t="inlineStr">
        <is>
          <t>metadata/클러스터_순위_공동자급_방법론.md</t>
        </is>
      </c>
      <c r="C43" s="29" t="inlineStr">
        <is>
          <t>본 시트의 서술형 버전</t>
        </is>
      </c>
      <c r="D43" s="29" t="inlineStr"/>
      <c r="E43" s="29" t="inlineStr"/>
    </row>
  </sheetData>
  <mergeCells count="9">
    <mergeCell ref="A34:E34"/>
    <mergeCell ref="A12:E12"/>
    <mergeCell ref="A4:E4"/>
    <mergeCell ref="A20:E20"/>
    <mergeCell ref="A2:E2"/>
    <mergeCell ref="A25:E25"/>
    <mergeCell ref="A1:E1"/>
    <mergeCell ref="A36:E3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2026-06-02T10:20:35Z</dcterms:created>
  <dcterms:modified xsi:type="dcterms:W3CDTF">2026-06-23T08:05:47Z</dcterms:modified>
  <cp:lastModifiedBy>user</cp:lastModifiedBy>
  <cp:version>0906.0200.01</cp:version>
  <cp:revision>8</cp:revision>
</cp:coreProperties>
</file>